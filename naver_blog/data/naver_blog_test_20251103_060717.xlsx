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202300"/>
  <mc:AlternateContent xmlns:mc="http://schemas.openxmlformats.org/markup-compatibility/2006">
    <mc:Choice Requires="x15">
      <x15ac:absPath xmlns:x15ac="http://schemas.microsoft.com/office/spreadsheetml/2010/11/ac" url="/Users/kimble/Documents/IT/PMIK-sns-analysis/output/"/>
    </mc:Choice>
  </mc:AlternateContent>
  <xr:revisionPtr revIDLastSave="0" documentId="8_{AC20EB12-46AB-4648-A205-30AB005163E3}" xr6:coauthVersionLast="47" xr6:coauthVersionMax="47" xr10:uidLastSave="{00000000-0000-0000-0000-000000000000}"/>
  <bookViews>
    <workbookView xWindow="1040" yWindow="1180" windowWidth="27700" windowHeight="16780" xr2:uid="{871FFEE5-3785-D34D-A02D-370348A609BA}"/>
  </bookViews>
  <sheets>
    <sheet name="naver_blog_test_20251103_060717"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0" i="1" l="1"/>
  <c r="A93" i="1"/>
  <c r="A99" i="1"/>
  <c r="A105" i="1"/>
  <c r="A107" i="1"/>
  <c r="A109" i="1"/>
  <c r="A127" i="1"/>
  <c r="A133" i="1"/>
  <c r="A167" i="1"/>
  <c r="A172" i="1"/>
  <c r="A219" i="1"/>
  <c r="A221" i="1"/>
  <c r="A224" i="1"/>
  <c r="A225" i="1"/>
  <c r="A227" i="1"/>
  <c r="A229" i="1"/>
  <c r="A230" i="1"/>
  <c r="A251" i="1"/>
  <c r="A253" i="1"/>
  <c r="A256" i="1"/>
  <c r="A259" i="1"/>
  <c r="A276" i="1"/>
  <c r="A278" i="1"/>
  <c r="A290" i="1"/>
  <c r="A296" i="1"/>
  <c r="A302" i="1"/>
  <c r="A303" i="1"/>
  <c r="A306" i="1"/>
  <c r="A307" i="1"/>
  <c r="A308" i="1"/>
  <c r="A309" i="1"/>
  <c r="A311" i="1"/>
  <c r="A319" i="1"/>
  <c r="A320" i="1"/>
  <c r="A321" i="1"/>
  <c r="A326" i="1"/>
  <c r="A328" i="1"/>
  <c r="A334" i="1"/>
  <c r="A336" i="1"/>
  <c r="A340" i="1"/>
  <c r="A343" i="1"/>
  <c r="A370" i="1"/>
  <c r="A373" i="1"/>
  <c r="A376" i="1"/>
  <c r="A385" i="1"/>
  <c r="A387" i="1"/>
  <c r="A390" i="1"/>
  <c r="A391" i="1"/>
  <c r="A392" i="1"/>
  <c r="A395" i="1"/>
  <c r="A397" i="1"/>
  <c r="A398" i="1"/>
  <c r="A399" i="1"/>
  <c r="A402" i="1"/>
  <c r="A405" i="1"/>
  <c r="A406" i="1"/>
  <c r="A407" i="1"/>
  <c r="A408" i="1"/>
  <c r="A410" i="1"/>
  <c r="A411" i="1"/>
  <c r="A412" i="1"/>
  <c r="A413" i="1"/>
  <c r="A415" i="1"/>
  <c r="A416" i="1"/>
  <c r="A417" i="1"/>
  <c r="A418" i="1"/>
  <c r="A419" i="1"/>
  <c r="A420" i="1"/>
  <c r="A423" i="1"/>
  <c r="A426" i="1"/>
  <c r="A427" i="1"/>
  <c r="A428" i="1"/>
  <c r="A431" i="1"/>
  <c r="A432" i="1"/>
  <c r="A437" i="1"/>
  <c r="A439" i="1"/>
  <c r="A440" i="1"/>
  <c r="A441" i="1"/>
  <c r="A443" i="1"/>
  <c r="A444" i="1"/>
  <c r="A446" i="1"/>
  <c r="A448" i="1"/>
  <c r="A455" i="1"/>
  <c r="A457" i="1"/>
  <c r="A459" i="1"/>
  <c r="A460" i="1"/>
  <c r="A461" i="1"/>
  <c r="A462" i="1"/>
  <c r="A463" i="1"/>
  <c r="A464" i="1"/>
  <c r="A472" i="1"/>
  <c r="A473" i="1"/>
  <c r="A474" i="1"/>
  <c r="A633" i="1"/>
  <c r="A634" i="1"/>
  <c r="A635" i="1"/>
  <c r="A661" i="1"/>
  <c r="A662" i="1"/>
  <c r="A663" i="1"/>
</calcChain>
</file>

<file path=xl/sharedStrings.xml><?xml version="1.0" encoding="utf-8"?>
<sst xmlns="http://schemas.openxmlformats.org/spreadsheetml/2006/main" count="2222" uniqueCount="1984">
  <si>
    <t>platform</t>
  </si>
  <si>
    <t>title</t>
  </si>
  <si>
    <t>description</t>
  </si>
  <si>
    <t>blogger_profile</t>
  </si>
  <si>
    <t>post_url</t>
  </si>
  <si>
    <t>author_id</t>
  </si>
  <si>
    <t>content_text</t>
  </si>
  <si>
    <t>hashtags</t>
  </si>
  <si>
    <t>postdate</t>
  </si>
  <si>
    <t>image_count</t>
  </si>
  <si>
    <t>video_count</t>
  </si>
  <si>
    <t>image_urls</t>
  </si>
  <si>
    <t>video_urls</t>
  </si>
  <si>
    <t>view_count</t>
  </si>
  <si>
    <t>like_count</t>
  </si>
  <si>
    <t>comment_count</t>
  </si>
  <si>
    <t>referrer_name</t>
  </si>
  <si>
    <t>referrer_phone</t>
  </si>
  <si>
    <t>partner_number</t>
  </si>
  <si>
    <t>collected_at</t>
  </si>
  <si>
    <t>Naver Blog</t>
  </si>
  <si>
    <t>2025년 11월피엠인터내셔널 코리아비즈니스 .. : 네이버블로그</t>
  </si>
  <si>
    <t xml:space="preserve">2025년 11월 피엠인터내셔널 코리아 비즈니스 아카데미 일정 안내   11월 비즈니스 아카데미 일정... 피엠인터내셔널 비즈니스 아카데미! 각 지역에서 함께 성장의 시간을 만들어가세요. ✨ 제품구매... </t>
  </si>
  <si>
    <t>blog.naver.com/acacia0301</t>
  </si>
  <si>
    <t>https://blog.naver.com/acacia0301/224060788069</t>
  </si>
  <si>
    <t>acacia0301</t>
  </si>
  <si>
    <t>2025년 11월 피엠인터내셔널 코리아
비즈니스 아카데미 일정 안내 💼
🌟 11월 비즈니스 아카데미 일정
대전 비즈니스 아카데미 (온라인 송출)
일정: 2025년 11월 11일(화) 13:00~17:00 (*입장 11:50~)
장소: 호텔 ICC 3층 컨벤션홀
주소: 대전 유성구 엑스포로 123번길 55
주차: 800대, 당일 무료 주차
Door gift: 액티바이즈
인천 비즈니스 아카데미
일정: 2025년 11월 18일(화) 13:00~17:00 (*입장 11:50~)
장소: 송도컨벤시아 2층 그랜드볼룸
주소: 인천 연수구 센트럴로 123
주차: 전일 10,000원
Door gift: 액티바이즈
부산 비즈니스 아카데미
일정: 2025년 11월 25일(화) 13:00~17:00 (*입장 11:50~)
장소: 부산한국국제전시컨벤션센터 5층 컨퍼런스홀
주소: 부산 동구 충장대로 206
주차: 전일 10,000원
Door gift: 액티바이즈
🎟 티켓 판매 일정
오프라인 티켓: 11월 3일(월) 오전 11:00~
온라인 티켓:
11월 4일(화) 오전 11:00~ (짝수)
11월 5일(수) 오전 11:00~ (홀수)
🧾 QR 코드 현장 입장 순서
STEP 1. 등록데스크
POS로 QR코드를 확인 후 수량에 맞게 교환권 수령 (최대 2개)
2인 이상 참석 시 함께 등록해야 나란히 좌석 배정 가능
STEP 2. 입장 팔찌 수령
교환권 수량만큼 입장 팔찌를 받습니다.
STEP 3. 행사장 입장
팔찌를 확인하고 지정된 좌석에 착석합니다.
STEP 4. 도어 기프트 증정 🎁
FitLine 액티바이즈 1개 무료 증정
등록데스크에서 입장 팔찌 내 바코드를 확인 후 증정품 수령
유의사항
교환권 및 팔찌는 본인만 수령 가능하며, 행사 종료 후 증정 진행됩니다.
🏦 하나은행 연금 부스 운영
피엠 연금 프로그램 관련하여 하나은행 연금 부스에서 가입 및 상담이 가능합니다.
가입 시 준비물
신분증
사업자등록증명원
사업소득 원천징수영수증 또는 소득증명원
※ 자세한 내용은 공지문 「피엠 연금 프로그램 시행 안내」 참고
📅 행사 일정
개회 전: 제품 시음회 및 포토부스 운영
1부: 회사 소개 및 비전, 보상플랜, 리더 스피치
2부: 제품 심화 교육, 인정식, 리더 스피치
※ 비즈니스 아카데미 티켓 정보 및 프로모션 안내는 추후 공지 예정
💡 건강한 에너지와 열정이 가득한
2025년 11월 피엠인터내셔널 비즈니스 아카데미!
각 지역에서 함께 성장의 시간을 만들어가세요. ✨
제품구매/사업문의는❓
⏬카톡⏬ 또는 ⏬카카오채널⏬로!
피엠리아의 독일피엠인터내셔널
독일 건강기능식품 피엠 인터내셔널의 회원가입/제품구매/사업문의 주세요. 한국 호주 PM
pf.kakao.com
#피엠인터내셔널 #PM비즈니스아카데미 #11월아카데미 #PM코리아 #비즈니스교육 #PM이벤트 #액티바이즈 #피엠세미나 #PM사업 #피엠리더십 #PM트레이닝 #네트워크비즈니스 #PM성장 #피엠코리아행사 #피엠뉴스</t>
  </si>
  <si>
    <t>#피엠인터내셔널, #PM비즈니스아카데미, #11월아카데미, #PM코리아, #비즈니스교육, #PM이벤트, #액티바이즈, #피엠세미나, #PM사업, #피엠리더십, #PM트레이닝, #네트워크비즈니스, #PM성장, #피엠코리아행사, #피엠뉴스</t>
  </si>
  <si>
    <t>https://postfiles.pstatic.net/MjAyNTExMDFfMTAz/MDAxNzYxOTQzNDkwNDQ3.0Y9RfyECqJJfLI80phaMqviZ0gbHRr19EMyfxLDukg8g.h9pKNlEF2zUT6jb1Bv6iGuY3Ur5_-V51kRhXdfrKiz0g.PNG/2025%EB%85%8411%EC%9B%94%EB%B9%84%EC%A6%88%EB%8B%88%EC%8A%A4%EC%95%84%EC%B9%B4%EB%8D%B0%EB%AF%B8%EC%9D%BC%EC%A0%95PM.png?type=w773|||https://postfiles.pstatic.net/MjAyNTExMDFfMTgy/MDAxNzYxOTQzOTU2MzA5.S2UJKkGRDvRkMdukQ_ZnIl2oFRzm8l6TvsWiSqvXm6sg.MZ4WJNiRJbOao2iOCXIOe0ZPful8m3asplW1pRrQkm0g.JPEG/Screenshot_20251030_140921_Chrome.jpg?type=w80_blur|||https://postfiles.pstatic.net/MjAyNTExMDFfMjk3/MDAxNzYxOTQzNzk2MjM2.dNDOuilNKUi_JRv7hWsofBq4FRFf3Q0l9kmaTd27bscg.f1EBB7lDqsGIJaRO7RuIJTFbveizVPdSDaeRjJ12RJwg.JPEG/Screenshot_20251030_140939_Chrome.jpg?type=w80_blur|||https://postfiles.pstatic.net/MjAyNTExMDFfNzIg/MDAxNzYxOTQzOTAxMDI5.cZnUIM_jbNjYhfnf2xYCX_O3375bCYW4xl-bzI-BCjcg.B35wWCcdSlxhmtx3DZJBBDMOzaM3dN9HBbzakJ3W-tUg.JPEG/Screenshot_20251030_140949_Chrome.jpg?type=w80_blur|||https://postfiles.pstatic.net/MjAyNTExMDFfMTM2/MDAxNzYxOTQyODk5NDUz.jR8G-HSPC2H_lffLDZJtiT2wI08PRxfB46wBlnxL0jIg.yeWKcwqAvxWOhsysAxdHfMF3BsePjJS2vbvRWh6fmAE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ExMDFfMTQg/MDAxNzYxOTQyODk5Nzk1.HJFcd4SC74L63CFdbqT6MWMFm8QQUeOCzBCmRdsHJ1og.T94qOGAo5aSzyNpphTxQ-s3KCll93gyn5grZrPKH-JAg.JPEG/%EC%B6%94%EC%B2%9C%EC%9D%B8_%EC%95%84%EC%9D%B4%EB%94%94_40308133.jpg?type=w80_blur</t>
  </si>
  <si>
    <t>피엠인터내셔널 회원가입 ㅣ이거 보고 가입완료!.. : 네이버블로그</t>
  </si>
  <si>
    <t xml:space="preserve">피엠인터내셔널 홈페이지 접속하기 먼저 아래 공식 링크를 클릭해 주세요   https://pm.pmi-korea.com/main.do 접속 후 오른쪽 상단의 회원가입 버튼을 클릭합니다. 정품을 저렴하게 구매하고 다양한 혜택을... </t>
  </si>
  <si>
    <t>blog.naver.com/chlehd14</t>
  </si>
  <si>
    <t>https://blog.naver.com/chlehd14/224061854789</t>
  </si>
  <si>
    <t>chlehd14</t>
  </si>
  <si>
    <t>안녕하세요 😊
독일 PM 사업가 최동희입니다.
공식 홈페이지에서 정품을
합리적으로 구매할 수 있는
피엠인터내셔널 회원가입 방법을
자세히 안내해 드릴게요.
처음 방문하시는 분들도
사진과 함께 천천히 따라 하시면
어렵지 않습니다 ✨
📍가입 후 오토십신청까지 하신분께는
무료로 전용 보틀을 선물해드리고 있으니
글을 끝까지 읽어봐 주세요~!
✅ 1. 피엠인터내셔널 홈페이지 접속하기
먼저 아래 공식 링크를 클릭해 주세요 👇
👉 https://pm.pmi-korea.com/main.do
접속 후 오른쪽 상단의 회원가입 버튼을 클릭합니다.
정품을 저렴하게 구매하고 다양한 혜택을 받으려면
‘팀 파트너’ 선택이 유리합니다 👍
이 모든 과정이
피엠인터내셔널 회원가입의 첫 단계입니다.
📝 2. 약관 동의 및 본인 인증
약관 전체 동의 체크
(회색 → 파란색으로 바뀜)
통신사 선택 후
문자 인증 진행
(가장 간단합니다~!)
이름, 주민번호, 연락처, 보안문자 입력 후 확인
문자로 받은 인증번호를
입력하면 본인 인증이 완료됩니다 📱
💡 3. 기본정보 및 추천인코드 입력
기본적인 정보를 작성해줍니다!
영문 이름의 경우 여권을 확인하셔도 되고,
아래 링크로 확인하셔도 됩니다!
https://ems.epost.go.kr/ems/front/apply/pafao07p12.jsp
영문변환기
영문변환기 닫기 영문변환기 한글이름 변환 영문이름 확인 초기화
ems.epost.go.kr
회원가입 시 추천인은 필수 입력 항목입니다.
아직 정해지지 않았다면 아래 코드를 입력해 주세요.
👉 추천 코드 : 20766344 (최동희)
입력 후 가입 완료를 누르면 절차가 끝납니다!
이렇게 하면 피엠인터내셔널 회원가입이
성공적으로 완료됩니다 🙌
🔍 4. 한눈에 보는 가입 요약
1️⃣공식 사이트 접속 → 회원가입 클릭
2️⃣팀 파트너 선택 → 약관 동의 및 인증
3️⃣ 추천 코드 입력 : 20766344 (최동희)
4️⃣ 가입 완료 → 정품 저렴한 구매 + 오토십 혜택
이처럼 피엠인터내셔널 회원가입만 완료해도
정품 제품을 더욱 합리적인 가격에
만나보실 수 있습니다 🌿
🎁 5. 가입 후 혜택
회원가입 후에는 공식몰에서 정품 제품을
보다 합리적인 가격에 구매할 수 있으며,
정기 배송 서비스(오토십) 설정 시
추가 혜택도 받을 수 있습니다.
특히 오토십을 신청하면
피엠인터내셔널 회원가입 고객만을 위한
소정의 선물과 특별한 할인 혜택이 제공돼요 🎉
오토십은 아래 링크에서 신청방법 확인 가능!
https://blog.naver.com/chlehd14/223953876033
공식 피엠인터내셔널 홈페이지로 정품 쥬스 싸게 먹는 꿀팁
안녕하세요 ^_^ 오늘은 공식 피엠인터내셔널 홈페이지로 정품 쥬스 싸게 먹는 꿀팁에 대해 알려드릴게요~! ...
blog.naver.com
오토십까지 신청 하신분들은
저에게 문의 주세요!!
피엠쥬스를 마실때 사용하기 편한
전용 보틀을 선물로 드립니다😊
아래 링크로 문의 주세요!
https://blog.naver.com/chlehd14/223727996310
독일 피엠 인터내셔널 제품 및 비즈니스 문의ㅣ최신버전
독일 피엠 인터내셔널 공식 사업가 최동희입니다. 🔽 아래 카톡 프로필로 연락주세요. 🔽 https://open...
blog.naver.com</t>
  </si>
  <si>
    <t>https://postfiles.pstatic.net/MjAyNTExMDJfMjkx/MDAxNzYyMDUyNTI4MDU5.oFNGOIPyNMYSNnkkPXLc2mt0Voo_lIrTEothKuwjmEsg.wrA_z7jCDMdngZMGSL4_kULUjNGMHYQEx2VlxByR0XUg.PNG/SE-24b3d0e2-005b-4091-9687-3facbae249e4.png?type=w80_blur|||https://postfiles.pstatic.net/MjAyNTExMDJfMzUg/MDAxNzYyMDUyNTI4NjUy.j33jUBQvCWz_xE2xdH0oS_SaztrSm-bathxS1H-erzwg.OXLsFm34Vo42k8j75Y-ICL3hUVhTsCr7ixzT03mH4hIg.PNG/SE-4a215abc-b94c-4cef-89f3-3f65d9558d55.png?type=w80_blur|||https://postfiles.pstatic.net/MjAyNTExMDJfMTM3/MDAxNzYyMDUyNTI5MTYw.gaK-ekIEYtMjLTGP-O_SGy9MGAi7_GYJ0NSxlBdnyFQg.Mo0vYIVK6KIFn9Mv1564EXGkD1v9kE_-N2UDzke4x7Ug.PNG/SE-2d436fe9-095d-44ec-902b-09f05a6b1362.png?type=w80_blur|||https://postfiles.pstatic.net/MjAyNTExMDJfNTgg/MDAxNzYyMDUyNTI5NjI5.H226EdeF7xKl5--SpJ6euOgWScDjVkkHJwDOBGXVZ-og._tCri5PwTTvyEAx1M95w4l4ky8x5QELL6uB0pYp2PtUg.PNG/SE-f758df09-f4b3-419c-b49a-6f23698bbc45.png?type=w80_blur|||https://postfiles.pstatic.net/MjAyNTExMDJfMjA0/MDAxNzYyMDUyNTMwMTQ1.uyr1ng9d5o0qPDJzqrAW3xbO1A9FgArotTJaBTXmuV4g.-6AdGbBowyebvuf2Fz9EcN7z-cabc2uvEj_fdXw37kEg.PNG/SE-d22c2005-771e-46d9-9758-b42cd056002b.png?type=w80_blur|||https://postfiles.pstatic.net/MjAyNTExMDJfMjg1/MDAxNzYyMDUyNTI0NDQw.6Auda5MEdZOw5J-RFP2FvTZHtDugjv2jRt2POXYJ9Ecg.O98CEgIOxQvqWA8TlU4KFNOh57ifLyhZyZ3DjX1rtV4g.PNG/SE-1119b5ff-519b-4a49-8847-2fda07667af0.png?type=w80_blur|||https://postfiles.pstatic.net/MjAyNTExMDJfMTM3/MDAxNzYyMDUyNTI1NDAy.nUzoAA97SI-QkWqoKr0Bc_HKA7djoRAuEhWomtWuD-wg.micFxebt_C12AxND8uyy6q393-dTDVPA8McRqp3I6GMg.PNG/SE-a497edc5-5f3f-40d3-b895-f113375fce4b.png?type=w80_blur|||https://postfiles.pstatic.net/MjAyNTExMDJfMTk2/MDAxNzYyMDUyNTI1ODY1.UHgUCB7M-MLWEEYeWq0Q3JGcAZY88qAjk_ZXDcL2HDog.odOn9ob9YOjwJgbSrIUIuveYCYnmFtvblbtYDj28MVMg.PNG/SE-ca58f4a0-dd2c-44ea-8084-52e79823a965.png?type=w80_blur|||https://postfiles.pstatic.net/MjAyNTExMDJfNDIg/MDAxNzYyMDUyNTI2NDAx.CLlnCpilsImr6x3WKMGDQQ7Fi-SqUnJ4L_ML1aeYTV8g.Ymu3G02b8DHyIFQbjHLWdlNmCICGUxO0r_PhX9moDxsg.PNG/SE-75151046-0884-4370-9c8f-4987d495d439.png?type=w80_blur|||https://postfiles.pstatic.net/MjAyNTExMDJfMzYg/MDAxNzYyMDUyNTI3MTE5.LVYlPCvAVMejOSVMWhd9gVL5jEEw8eryp87S6jJaqrwg.kYlRpgWTZz0_uskYoCNH623OYNmypWFpVfZYPS_goS0g.PNG/SE-805be874-36cd-4339-b1c2-12af3e428da2.png?type=w80_blur|||https://postfiles.pstatic.net/MjAyNTExMDJfMjEy/MDAxNzYyMDUyNTI3NjA5.zuu-wBjgl-LFy_wk3XsZohQCxZhAiByT74WNJwZEGkIg.BakMqcMa1V74mvoiCVLOOLJidBWOtofB2ErVhWIe_kMg.PNG/SE-c9017f7d-8039-4615-86ed-1bb84a5ddb86.png?type=w80_blur|||https://dthumb-phinf.pstatic.net/?src=%22https%3A%2F%2Fblogthumb.pstatic.net%2FMjAyNTA3MzFfODAg%2FMDAxNzUzOTQ0OTEzMzQ2.oMQSx7Ebgtsg3J1ulrvrmTdIh1bozac1PGX8MZ6g1uYg.Ikh8rwUcccAuvcdANrczCVxMhykCBC8z5jNwbGjIaq4g.PNG%2Fimage.png%3Ftype%3Dw2%22&amp;type=ff500_300|||https://dthumb-phinf.pstatic.net/?src=%22https%3A%2F%2Fblogthumb.pstatic.net%2FMjAyNTAyMTBfMjMz%2FMDAxNzM5MTUyNDc0ODY5.8QP5lGyBfJvHcBfseFAYoL6nB1fMJ0M5y1ZfhgIguZIg.YZ9xy_UXMXcAW-5uykMJqXGslqHoRj2TgWVudEirmEAg.JPEG%2F%25C4%25AB%25C4%25AB%25BF%25C0%25C5%25E5_%25C0%25CC%25B9%25CC%25C1%25F6.jpg%3Ftype%3Dw2%22&amp;type=ff120|||https://postfiles.pstatic.net/MjAyNTExMDJfMzMg/MDAxNzYyMDUyNTI0OTY0.DTLh6EDCdw8826rF6n4yZN1z57q2quwhX4AFSz66i-Ug.mwbLLCgTCLn9XAYKiExmU-lN8_i9F2Q2VwHSfhJUwJkg.PNG/SE-e3b56c2d-1675-40dd-8d4f-f0ac8aa0997b.png?type=w80_blur</t>
  </si>
  <si>
    <t>[독일피엠액션팩]PM쥬스 11월프로모션🎉7주.. : 네이버블로그</t>
  </si>
  <si>
    <t xml:space="preserve">독일 PM 액션팩 11월 초특가 – 지금이 기회입니다! 독일피엠세라 #액션팩 #액티펀치#11월프로모션... 피엠인터내셔널 11월무이자카드 11월무이자 행사하는카드!! 대부분 3개월무이자는 되시구요~ 국민... </t>
  </si>
  <si>
    <t>blog.naver.com/sda9191</t>
  </si>
  <si>
    <t>https://blog.naver.com/sda9191/224061627802</t>
  </si>
  <si>
    <t>sda9191</t>
  </si>
  <si>
    <t>독일 PM 액션팩 11월 초특가 –
지금이 기회입니다!
독일피엠세라
#액션팩 #액티펀치#11월프로모션
#독일피엠프로모션 #독일피엠사업
독일피엠사업을 본업으로 7년째
꾸준하게 지속성장하고
효과적인 맞춤형 상담으로 유명한
독일피엠세라입니다!!
#독일피엠액션팩
💡 매년 단 두 번,
오토십보다 저렴하게 구매할 수 있는 기회!
올해 마지막 최저가 챤스!
독일피엠액션팩 프로모션이
11월 한 달간 진행이 되는데요~
피엠매니아 분들은
이 액션팩을 절대로 놓치지 않으시죠
놓치면 100% 후회할
특별한 프로모션!
독일피엠 액션팩으로
파워칵테일과 리스토레이트
가장 저렴하게 구입하는 이벤트
안내를 도와드릴게요~!!
#독일피엠액셔팩 #독일피엠프로모션 #독일피엠최저가
독일피엠액션팩
매년 11월쯤 한다고 예상은 했지만
이렇게 초대박행사를 할 줄
정말 몰랐어요~~
저도 공지를 보고 깜짝 놀랐답니다!
🌿 이보다 쌀순 없다!
💥 11월! 역대급 초특가 이벤트 💥
✔ 연 2회 한정 (5월·11월만 진행!)
✔ 오토십보다 평상시 BA스페셜보다 좀 더 저렴한 피엠 액션팩 구성
✔ 5+1 프로모션 &amp; 회원가입없이도 정품 구매 가능한 방법을 알려드리니 연락주세요!
✔ 구매 시, 세라의 무료1:1 맞춤 건강상담
✔ 1인 2세트 신청 시 — 파워칵테일 2개 + 리스토레이트 2box 추가 증정 🎁
✔ 조기 마감 예상! (선착순 한정 수량)
가급적 빨리 연락주심 감사하겠습니다^^
독일피엠액션팩
액션팩이 뭐에요?
11월이 가장저렴한가요?
11월 액션팩은요
사람이면 꼭 필요한
여러가지 영양소들을
올인원으로 섭취할 수 있는
전세계에서 가장 잘팔려나가는
파워칵테일, 리스토레이트
기초 세트를 가장 저렴하게
드실 수 있는 기회입니다!!
독일피엠11월프로모션
소비자가 대비 45%할인!
파워리스 한달치 비교를 했을 때
오토십가 : 137,100원
BA스페셜 5세트 595200원짜리로
구매하셨을 때에는 파워리스한달치가
BA스페셜 : 119,040원
액션팩 5세트 545600원으로 구매시
파워리스 한달치가
액션팩가 : 109,120원
요렇게 된답니다~^^
이렇게만 사도사실
굉장히 저렴해서
2세트이상구매하시는 분들이
계시는데요~
이번엔 7주년 스페셜 증정
이벤트가 있습니다!
집중해주세요~!!
#독일피엠액션팩
#독일피엠프로모션
(액션팩자체만으로도)
1세트만 사도 평상시보다
5만원가량 저렴하
게 구매가 가능하신거구요~!
주문하실때 한배송지로
같은 주문번호로 액션팩 2세트 주문시
파워2 + 리스2 무료증정!!
4박스가 선물로 따라오는거에요!!
즉,2세트 구매시에는
1세트당 9만원꼴로 구매가능!!
파워칵테일리스토레이트
12개월치가 오는거에요^^ 대박이죠?
액션팩2세트구매시
파워리스2개월치가
선물로?!!
와우!
솔직히 피엠식품
좋은거 다 아시는데~
가격이 비싸서 고민이라서
아껴드시거나
못드시는 분들 많이 계시죠?
이번이 챤스입니다!!
프로모션 기간내 1인당
구매 가능한 액션팩 수량은
10세트입니다~~
액션팩 4세트 주문시
파워4 +리스4 무료증정!!
총8박스를 받게되시는거에요~
동일한 주문번호로 10세트 주문시
파워10 + 리스10 추가증정!!
와~! 이런 이벤트는
난생처음!! 저도 처음 보는
이벤트랍니다~~
물론 이런 모든 프로모션은
3개월간
파워칵테일과 리스토레이트를
드시는 오토십회원들에게
특별한 혜택으로 주어지면서
캐시백보너스를 받을 수 있는
조건도 되시는데요~
이번11월 14일까지는
신규오토십회원분들께
액티바이즈를 증정하는
이벤트도 있어요~
피엠이 좋다고 얘기는 들었는데
한번 한번 접해보고 싶고
궁금하신분들은
편하게 문의주세요^^
친절하게 상담도와드릴게요~!!
사실은 나중에 나도모르게
전달이되면서 사업도 연결되는거라
제대로 알고 접하시는게
좋거든요^^
피엠인터내셔널 11월무이자카드
11월무이자
행사하는카드!!
대부분 3개월무이자는 되시구요~
국민 우리비씨 농협
카드는 5개월무이자가능하네요~
부담없게 저렴하게 이용하시면서
건강도 잘 챙기시면
넘 좋을것 같아요~
정말 초초초대박 이벤트!!
놓치면 너무 아깝겠지요?
가족들과 함께 드시고 싶으신 분
겨울되기 전 세포에 영양보충을
제대로 해서 면역기능도 올리구
나쁜건 내보내고 좋은 컨디션을
가져가고싶으신 분들도
이번 기회를 활용하면
넘 좋을것 같습니다~!!
액티바이즈 빨간색을
너무나도 기다리시는 분들이
많으신데요
기존드시던 빨간액티바이즈는
12월말에 세일이 있구요~
요 빨간액티바이즈는
겨울시즌한정판으로 나오는
뱅쇼맛이 나는
특별한 시즌한정액티바이즈입니다!
이제는 아시는 분들은
펀치만 기다리시는 분들도 많이
계시는데요~~
그만큼사랑받는 액티바이즈!!
액티바이즈와 기능은
동일하시고~
비타민B군 비타민C
영양소가 집중되어서
에너지대사기능을 돕고
혈액순환에 도움을 주고
몸을 따뜻하게 하는데도
효과가 좋지요^^
맛과 향이 유럽에서
겨울에 즐겨마시는
뱅쇼맛이
나는 것이 특징입니다^^
"전 개인적으로
액티펀치 완전 좋아해요^^"
액티펀치와 액티바이즈 차이점이
궁금하신분은 하단 포스팅을 참고해주시구요~
↓↓↓↓↓↓↓↓↓↓↓↓↓↓↓↓
https://blog.naver.com/sda9191/222181524287
&lt;독일피엠 pm인터내셔널 할인&gt;엑티펀치와 엑티바이즈 차이점과 효능
#독일피엠 #겨울한정 #액티펀치 #엑티바이즈 전국에서 온라인상담을 제일 잘하는 따뜻하고 친절한 독일피엠...
blog.naver.com
가장저렴하게 드시면서도
효과적으로 알고 드시고 싶으신분
이렇게먹는게 맞나?
이 약이랑 같이 먹어도되나?
혹시 계속 먹으면 무리가 있나?
살이 더 빠지면 어쩌나?/
살이 더 찌면 어쩌나?
속이 안 좋으면 어쩌나?
부작용이 있으면 어쩌나?
반응이 온다던데 괜찮은건가?
여러가지 알고싶은거
시원하게 묻고싶은거
해결하면서 드시면
훨씬 맘도 편하고
몸도 편하실거에요^^
괜히 여기저기 묻고
검색하는 영양제유목민
이제그만하길 원하시는분
액션팩 최저가로 구매하기 원하시는분은
독일피엠세라에게 연락주세요^^
010-5262-5923
기본쥬스에 대한 상세정보를 알기
원하시는 분은
하단 링크를 참고해주세요^^
1.파워칵테일
https://youtu.be/e8-FlZa4n3o
2.리스토레이트
https://youtu.be/r2GmbOG5dVQ
3.액티바이즈1탄
https://youtu.be/ra5ahENQ8BE
4.액티바이즈2탄
https://youtu.be/pJBxIiS3g7U
5.독일피엠 3종 핵심
https://youtu.be/nwnFJG1eMQY
https://open.kakao.com/me/pmsara
독일피엠세라님의 오픈프로필
살리는 길이 살길이다
open.kakao.com</t>
  </si>
  <si>
    <t>#액션팩, #액티펀치, #11월프로모션, #독일피엠프로모션, #독일피엠사업, #독일피엠액션팩, #독일피엠액셔팩, #독일피엠최저가, #독일피엠, #겨울한정, #엑티바이즈</t>
  </si>
  <si>
    <t>https://postfiles.pstatic.net/MjAyNTExMDJfMjIx/MDAxNzYyMDIzNjExMTU4.ow3ebkYV9kxbHkUxsoacpDWYccbyQTebsDNCv01xkj0g.s0Az46iy_75kdK4ENyu0qGHXLouEKjBi3iYV26N_HEAg.PNG/%EC%A0%9C%EB%AA%A9%EC%9D%84-%EC%9E%85%EB%A0%A5%ED%95%B4%EC%A3%BC%EC%84%B8%EC%9A%94_-001_(6).png?type=w80_blur|||https://postfiles.pstatic.net/MjAyNTExMDJfMTY2/MDAxNzYyMDE4MDkwOTI5.GrmOxOh3i9AlWLD9qXAU4GSt4fT6trcRMBWqZmTQx0Yg.NQhfl8tvnU07yRqzzg9ILPCT-iIf37w3hacRjrwjmogg.PNG/%EC%95%A1%EC%85%98%ED%8C%A9%EC%9D%B4%EB%AF%B8%EC%A7%80.png?type=w80_blur|||https://postfiles.pstatic.net/MjAyNTExMDJfMTc1/MDAxNzYyMDE3MzE5MzU0.03Bd2KzFeHo5DiRVKTYJhi5P3Y6RnS6ACyhjpbOZBmYg.PiiyMvsSNEAD24H24tHg-yhRuzuRD7UIw0ghe5qcYiYg.PNG/%EC%95%A1%EC%85%98%ED%8C%A9_(2).png?type=w80_blur|||https://postfiles.pstatic.net/MjAyNTExMDJfMzYg/MDAxNzYyMDI0MDc1NjI0.3Dbeoq_RbU0jFI8jIPLM9bRYpwpx49W7qGsMk6VNe-Ig.KO1gFKr2G3HJ0GFFitmikb4UauE0NhMwqfQDLJARwecg.JPEG/6.jpg?type=w80_blur|||https://postfiles.pstatic.net/MjAyNTExMDJfMTc1/MDAxNzYyMDE3MzE5MzU0.03Bd2KzFeHo5DiRVKTYJhi5P3Y6RnS6ACyhjpbOZBmYg.PiiyMvsSNEAD24H24tHg-yhRuzuRD7UIw0ghe5qcYiYg.PNG/%EC%95%A1%EC%85%98%ED%8C%A9_(2).png?type=w80_blur|||https://postfiles.pstatic.net/MjAyNTExMDJfMTM3/MDAxNzYyMDE3MzAyMjQ3.9OvM0Jh9CI84TGwnZbq26Nuue4gbGmjWvzPfBBUptVEg.SyyvWwGe0o2hoTLwo5IX6c11Y56imqJ4xJlrZMgQo6sg.PNG/%EC%95%A1%EC%85%98%ED%8C%A9_(3).png?type=w80_blur|||https://postfiles.pstatic.net/MjAyNTExMDJfMjc3/MDAxNzYyMDI0MTgzOTgz.deedayRIQ6hL1xgp9IY21Z0HWWYECJOn2WukMY9cim0g.TK5rFtLGkNgP2RoDUg7BLryr1q_cC-EJoHQuQpFZDU4g.JPEG/7.jpg?type=w80_blur|||https://postfiles.pstatic.net/MjAyNTExMDFfMjU1/MDAxNzYxOTYzNzcwNDg2.3il7RgPDAJ3s7qWZLYzzoNMqIz-0I5FXLrBFSBCsrosg.9AWrW6RPgSx6tqN3_S4yP2GICCDMQbC7bLJBE0Wgv68g.JPEG/KakaoTalk_20251101_103758342.jpg?type=w3840|||https://postfiles.pstatic.net/MjAyNTExMDFfMTEy/MDAxNzYxOTk4NzQ1MTI4.KY3hgTSStWzbZjk1LKFcwflqWJAsyaUufO2A6M43UCEg.M5OlKPzMMRkFrLtzAPjEhdeBCIpwSvIMgMay01AVJjQg.PNG/image.png?type=w3840|||https://postfiles.pstatic.net/MjAyNTExMDJfMjQ2/MDAxNzYyMDIxNzU4Njc1.xkSYChHzjiOx8NpaGhOT2cx00FnkouKELKvd5WMVf_Ag.PB6aO9gu9S53iSvLIc8sMOvAuIOOIKq0uppIWgNqaTYg.JPEG/7.jpg?type=w80_blur|||https://postfiles.pstatic.net/MjAyNTExMDJfMTA5/MDAxNzYyMDI0MzM3MjI3.rsMmZeL2P78idKRwP7f_oqU76YmeDzyA3ijWy6rfMZ0g.sEePaJP0-eokWmJWez260SOYuA1mPdWyuTDyEpQkcPsg.JPEG/%EC%98%A4%ED%86%A0%EC%8B%AD2.JPG?type=w80_blur|||https://postfiles.pstatic.net/MjAyNTExMDJfMTAy/MDAxNzYyMDI0MzY3MzYx.gk-HGoih4VfjuSt3ORpD966yVKqMl4CpR1DCsIMeyOwg.ZPdN8wl-L9ezKOOJsJP9WcDgxosnrlWIX2W4M_80JS8g.PNG/MIRICANVAS_ITEM_COPY_KEY_(1).png?type=w80_blur|||https://postfiles.pstatic.net/MjAyNTExMDJfMTc2/MDAxNzYyMDIxODQyODQw.oYu1o_pbzpTxjrXYkx7-iUi7zf6v__5FC55jBK9rvNwg.zu91QM_o6gZ9ImnZjphb7mTfy5sXf-m_ol__0W7WK78g.PNG/image.png?type=w80_blur|||https://postfiles.pstatic.net/MjAyNTExMDJfMTcy/MDAxNzYyMDE5NDQ1OTQw.mRplEdfe4P65TWacaziBwFe7mli5sxtISbTSoIK1rIEg.50ytu5zeTrAUhr1wa9Q0LI4pIYWY-nJTY3WJaqgcIDMg.JPEG/IMG_6564.jpg?type=w80_blur|||https://postfiles.pstatic.net/MjAyNTExMDJfMTE2/MDAxNzYyMDIxNzIzMzUw.RRquS9mqzQ58704Lc8xJ2qlx6l1ZocGfmSf8PhhG5zsg.t7zypYU-ydaaKQQ1AQaoQS75mAYygryyIwnSPimgjKog.JPEG/%EC%8A%A4%ED%8E%98%EC%85%9C2%EC%95%A1%EC%85%98%ED%8C%A9.jpg?type=w80_blur|||https://postfiles.pstatic.net/MjAyNTExMDJfMTQw/MDAxNzYyMDE5NDYyNjM0.ai22MhCi1UHkJxo1HDOr8qpDKkBVoAQ6sV-rp0xMSNgg.pCY9zAApDgQfYEOlfDe81bvpjhVvX3uqE8OJYnJ5YWUg.JPEG/%ED%8E%80%EC%B9%98.jpg?type=w80_blur|||https://postfiles.pstatic.net/MjAyNTExMDJfNTAg/MDAxNzYyMDE5NDg0NzEw.9cMc-zOPezTyvFg8A-vwRWRql9YolER7GMtG7MhPUOMg.w5B8qasVYY9lSeSFEou499_B5ELzaF5X8z-DePgLV7Ag.PNG/image.png?type=w80_blur|||https://postfiles.pstatic.net/MjAyNTExMDJfMTU4/MDAxNzYyMDE5NzI5NDg1.BhJwZpH6le-EysKN24s3saCrpH7aiIKBerAPMo-_qmsg.A6HTWnrGn3fO-OcbCpgMdUbh4jWWQ-b0nLnthJlKo3wg.PNG/image.png?type=w80_blur|||https://postfiles.pstatic.net/MjAyNTExMDJfMjg2/MDAxNzYyMDIyNDk5Njkw.YSBbqj4EwQ9ceQ__NxyaBPioNZjlV12uMmUYTIvGiD0g.Vm468dzMlJVbINv64znO02Jisvd-NfYW_qy-dDgPdGEg.JPEG/%EC%95%A1%ED%8B%B0%EB%B0%94%EC%9D%B4%EC%A6%88_%EB%B9%A8%EA%B0%84%EC%83%89.JPG?type=w80_blur|||https://dthumb-phinf.pstatic.net/?src=%22https%3A%2F%2Fblogthumb.pstatic.net%2FMjAyMDEyMjJfMTY4%2FMDAxNjA4NTk0MTA3Nzcw.7ZiqOzn_QjhNN_xZT1yuuN6PBn-5ddIEYO1hqz2iNmAg.39hChpucxoQ__U3c4m9xZ2cht3B8Ca7GJVFXXPChruUg.JPEG.sda9191%2FBandPhoto%25A3%25DF2020%25A3%25DF12%25A3%25DF22%25A3%25DF08%25A3%25DF19%25A3%25DF06.jpg%3Ftype%3Dw2%22&amp;type=ff250_444|||https://postfiles.pstatic.net/MjAyNTExMDJfMjMx/MDAxNzYyMDIyMTY1MDA3.nsZ7hFTdl-T1IrhbiXXtbqaDo7z0MGZV9oG4T4Zg7qcg.uaU4N9B8okrRnKsGcArL1Yj7JmgFrQ-g2MhtDxZ3t4og.JPEG/0216_%EC%84%B8%EB%9D%BC%EC%9D%98_%ED%8A%B9%EB%B3%84%EC%BD%94%EC%B9%AD-Cover.jpg?type=w80_blur|||https://postfiles.pstatic.net/MjAyNTExMDJfMjQx/MDAxNzYyMDIzMDc5Njk1.s5tKluEi00cIJhZ9pzvzQCmVtu3C9tRjYvVHo91QO5Eg.uSTO8FeQ5poJ_WOuu-H-uVPTFuszRRk1O0q2O9RaXSUg.JPEG/%EC%98%A4%ED%86%A0%EC%8B%AD_3%EC%A2%85.jpg?type=w80_blur|||https://postfiles.pstatic.net/MjAyNTExMDJfMTA5/MDAxNzYyMDIyMTQzODQx.0wuufBiGwREPCXtIfs2RASAkov_YICmuDSZyXqexzIQg.lPkL-c9lNB5rmrztPkD4xp32HCV5I-fKVEfPcnixWQcg.PNG/%EC%84%B8%EB%9D%BC-%ED%94%84%EB%A1%9C%ED%95%84-001.png?type=w80_blur|||https://postfiles.pstatic.net/MjAyNTExMDJfMjYw/MDAxNzYyMDIyNDAzNjQ2.-2mICXmjJ9DFJFONHgD65VSLzDfqduhM9Mz25TvDYYsg.pwne749YUJJkiv-tWpZ1w6n4EJVnmKrVp2OQWcJILhgg.JPEG/%ED%8C%8C%EC%9B%8C%EC%B9%B5%ED%85%8C%EC%9D%BC-001_(1).jpg?type=w80_blur|||https://postfiles.pstatic.net/MjAyNTExMDJfMTE0/MDAxNzYyMDIyNDA5Mjg2.qd-J6v5nnh3TpvaInrzPCAmshzejAuxm5BIR43H5eL8g.LhWshheHXW9iqnAJ0s7QDpjxbs8pE0ooCLhwP2ffircg.JPEG/%ED%8C%8C%EC%9B%8C%EC%B9%B5%ED%85%8C%EC%9D%BC%EB%A6%AC%EC%8A%A4%ED%86%A0%EB%A0%88%EC%9D%B4%ED%8A%B8-001.jpg?type=w80_blur|||https://postfiles.pstatic.net/MjAyNTExMDJfMjAw/MDAxNzYyMDIyNDIxOTgx.mLzyVSfLo6YlPIOXcTdHwipAZRjcmTplp06bmya6cPkg.T-w5Cz7nBmrTdE8BLFdHeejLbK9qaGgyUiXihpzyyW0g.JPEG/%EC%95%A1%ED%8B%B0%EB%B0%94%EC%9D%B4%EC%A6%882.jpg?type=w80_blur|||https://postfiles.pstatic.net/MjAyNTExMDJfMTQ0/MDAxNzYyMDIyNDgyMzQw.Qt9AEoe2_zdlLFc4-dB-q9Wa8F8P4_eHzl6heTe7V5gg.4PPkzm1aIW1AqnkHVeqAWg633dirmercAE0_wzC-ZHIg.JPEG/%EC%95%A1%ED%8B%B0%EB%B0%94%EC%9D%B4%EC%A6%88_%EB%B9%A8%EA%B0%84%EC%83%893.JPG?type=w80_blur|||https://postfiles.pstatic.net/MjAyNTExMDJfNDQg/MDAxNzYyMDIyNTMxMzEw.nr0JxWNGTSezqQXz18J3e4dYWfrDAtblhnfEeurKQjkg.TKAkAtpewzZnnSh7DuybgMXpc8Ou8xFR8M3KqCu9_8Qg.JPEG/5e7a8be3-765b-4f5c-a5b9-c23bc5309bfa.jpg?type=w80_blur|||https://postfiles.pstatic.net/MjAyNTExMDJfMjc2/MDAxNzYyMDIyNTUxMzAz.wCUNWYUqWuI0JiYxWdQAgQP5DznjR-EGyP2JV4WFAygg.MVQl-uT_1VUebTamxzg-QAfJb9Xg7cRS0oYJatTwzM0g.PNG/3%EC%A2%85_-_%EB%B3%B5%EC%82%AC%EB%B3%B8.png?type=w80_blur|||https://dthumb-phinf.pstatic.net/?src=%22http%3A%2F%2Fmk.kakaocdn.net%2Fdn%2Fopenchat%2Fscrap%2Fog%2Fme%2Fpmsara_out.jpg%3F1683077400%22&amp;type=ff500_300</t>
  </si>
  <si>
    <t>010-5262-5923</t>
  </si>
  <si>
    <t>부비동암 증상 원인 예방법 : 네이버 블로그</t>
  </si>
  <si>
    <t xml:space="preserve">건강쥬스 추천 인체에 필요한 각종 미네랄, 비타민, 무기질 과 천연재료를 성분으로 하는 분말을 물에 녹여 타먹는 쥬스형태의 제품으로 독일 회사에서 개발한 일명 독일pm쥬스 입니다. 한국 피엠인터내셔널... </t>
  </si>
  <si>
    <t>blog.naver.com/mct_cnc_</t>
  </si>
  <si>
    <t>https://blog.naver.com/mct_cnc_/224061683415</t>
  </si>
  <si>
    <t>mct_cnc_</t>
  </si>
  <si>
    <t>부비동암 이란?
부비동 은 코주위 두개골 속에 있는 공기 주머니로 네쌍이 있습니다. 상악동, 사골동, 전두동 , 접형동 입니다.
목소리 공명에 도움을 주며, 코 점막과 연결되어 있습니다.
부비동암은 이 부비동 점막에 발생하는 암의 일종입니다. 발생빈도가 매우 낮습니다.
부비동암 원인
전체암 중에서 0.5% 미만입니다. 정확한 원인은 확실하지 않지만 직업적 노출로 각종 산업분진, 흡연, 바이러스, 방사선 유입으로인해
부비동암이 발생한다고 알려져 있습니다.
부비동암 증상
한쪽 코막힘, 콧물(피가 섞인), 얼굴 한쪽의 통증 부기 감각이상등, 치통 잇몸 부종, 눈의 돌출, 시야흐림 (안와침범시),코피, 얼굴변형
예방
모든 암 예방에는 평소 생활 습관이 중요합니다. 청결하게 생활하기, 적당한 운동, 헤로운음식 먹지 않기,
그리고 보조적으로 건강식품 섭취하기.
건강쥬스 추천
인체에 필요한 각종 미네랄, 비타민, 무기질 과 천연재료를 성분으로 하는 분말을 물에 녹여 타먹는 쥬스형태의 제품으로
독일 회사에서 개발한 일명 독일pm쥬스 입니다.
한국 피엠인터내셔널 공식 사이트에서 구매하실수 있습니다. 글 하단 링크글 후기 참고하세요.
독일 PM 쥬스 효과 체험담
독일 PM 쥬스 로 체험한 거짓말 없는 진짜 후기 임을 알려드립니다. 전 다단계 일절 관심없은 평범한 직...
blog.naver.com</t>
  </si>
  <si>
    <t>https://postfiles.pstatic.net/MjAyNTExMDJfNjMg/MDAxNzYyMDM1NDE5MjI5.veoQzbGdUQESkw5OgCIQ-i2Iyfkc9VD_A0V9Wbxgw1og.tjzf9SaHSfzHYGjRMwV61ew1rCn-ScTHgdGqrKQZeJAg.PNG/image.png?type=w966|||https://postfiles.pstatic.net/MjAyNTExMDJfMTQ1/MDAxNzYyMDM1Njk5Nzc2.i5IxNaGRQW7IwmTb1mdK42tBiih3lYdjyNa7yjI7w2Eg.aJNq6iy4Q_QRADgmMG4iHjWZZUsmCxw_oeGVz8ngHOAg.PNG/image.png?type=w80_blur|||https://postfiles.pstatic.net/MjAyNTExMDJfMjk0/MDAxNzYyMDM1OTczNjE3.8T-uUxlGNSRbrj1TyVO2qEz_jnp6H0x-BpleF3-ns6wg.Bjh7hFRLZdSEqUr-Y6ZTdZPw91fa4G2KllXpZnvS7Rog.PNG/image.png?type=w80_blur|||https://postfiles.pstatic.net/MjAyNTExMDJfMTc3/MDAxNzYyMDM1OTk1NTMz.9KASZR8lsAIYQws7wLzRWRW1UziVSEMZU5UUg9M8em4g.7BLHvpYMe11tFjLshIDAkAFWqOZkTGB9xCIgZigXbHIg.PNG/image.png?type=w80_blur|||https://postfiles.pstatic.net/MjAyNTExMDJfMTUw/MDAxNzYyMDM2MDIxNzAy.8ZW1ekwSeKPExZxSrh5W47v78yds5zr9zvq_XT9mIh8g.sS8RC8VQqL-S-bFBhBPSl4sSoOSggQnPqjrXL7OdP2kg.PNG/image.png?type=w80_blur|||https://dthumb-phinf.pstatic.net/?src=%22https%3A%2F%2Fblogthumb.pstatic.net%2FMjAyNTEwMjhfMTQ5%2FMDAxNzYxNjE5ODA4MDYy.gzMk_s1X4WgTOfXjaewyDviXdwxmCJYZ4nhr1bVjrQkg.EN06kALqjBrOstsGSYmxJUuhSb0SSJO67OOhdLN3EKog.PNG%2Fimage.png%3Ftype%3Dw2%22&amp;type=ff500_300</t>
  </si>
  <si>
    <t>인체에</t>
  </si>
  <si>
    <t>다이어트, 이제는 ‘빼는 게’ 아니라 ‘바꾸는.. : 네이버블로그</t>
  </si>
  <si>
    <t xml:space="preserve">#독일PM #탑쉐이프 #건강다이어트 #체질개선 #NTC기술 #PM인터내셔널 #자연감량 #건강관리 #피엠탑쉐이프 #균형다이어트 #독일PM문미 #독일PM주스문미 #독일PM인터내셔널주스 #독일PM주스... </t>
  </si>
  <si>
    <t>blog.naver.com/fldpffm0614</t>
  </si>
  <si>
    <t>https://blog.naver.com/fldpffm0614/224061589355</t>
  </si>
  <si>
    <t>fldpffm0614</t>
  </si>
  <si>
    <t>🌿 독일 PM 탑쉐이프 — 건강하게 체형을 바꾸는 방법
요즘 다이어트 제품 정말 많죠?
하지만 단순히 살이 빠진다가 아니라, 무엇보다 중요한 건 ‘내 몸이 건강하게 변하는 과정’이에요 🍃
그런 고민 끝에 만나게 된 제품이 바로
독일 PM의 탑쉐이프(TopShape) 입니다.
🧪 어디서, 어떻게 만들어졌을까?
탑쉐이프는 유럽 건강기능식품 시장 1위 브랜드인
PM인터내셔널의 31년 기술력으로 탄생한 제품이에요.
💡 단순한 체중 감량이 아니라
뇌에서 직접 작용하는 과학적 원리를 기반으로,
몸이 스스로 균형을 잡도록 도와주는 ‘체질 중심 다이어트’예요.
📍 PM은 독일 본사에서 연구개발된 제품으로
현재 45개국 이상에서 사랑받고 있습니다.
⚙️ 흡수부터 다르다! — NTC 기술
PM 제품의 핵심은 바로 NTC (Nutrient Transport Concept) 기술이에요.
이 기술은 영양소가 점막을 통해 혈관으로 직접 흡수되도록 도와
✅ 흡수율은 높이고
✅ 간 부담은 최소화해 줍니다.
위나 장을 거치지 않아
필요한 영양이 빠르고 정확하게 전달되는 구조예요 💧
마시는 순간 흡수되는 영양소, 독일PM의 비밀을 아시나요?
🌿 독일PM의 놀라운 기술력, NTC와 마이크로솔브 세포가 원하는 영양을 정확히 전달하는 과학 요즘 ...
blog.naver.com
🌿 천연 유래 성분으로 안전하게
탑쉐이프는
🚫 카페인 X
🚫 각성제 X
🚫 스테로이드 X
✅ 100% 천연 유래 성분으로 만들어졌어요.
그래서 신장이나 간에 부담 없이 장기 복용도 가능하고,
포만감 + 대사 촉진 + 해독의 3단계 작용으로
몸이 자연스럽게 균형을 찾아가도록 돕습니다.
🌼 꾸준히 섭취할수록 달라지는 몸의 리듬
탑쉐이프는 한 달 단위로 꾸준히 관리할 수 있는 구성이에요.
사용자들 중에는 점점 가벼워지는 몸의 변화와 컨디션 개선을 경험하신 분들이 많아요.
💧 포만감이 생기고
💧 붓기와 순환이 개선되며
💧 하루 컨디션이 한결 안정된다는 후기가 많습니다.
🔁 요요 걱정 없이 체질 중심으로 관리
탑쉐이프는 체내 대사를 조절해 자연스러운 식욕 조절을 유도하고,
대사 균형 회복으로 건강한 체형 유지를 돕습니다.
무리한 단식이나 인위적인 억제가 아니라
내 몸의 리듬을 되찾아주는 ‘균형형 다이어트’라
요요 걱정 없이 꾸준히 관리할 수 있어요 💪
👌 이런 분들께 추천드려요
✅ 건강하게 다이어트하고 싶은 분
✅ 위장이나 소화가 약한 분
✅ 자극적인 성분이 부담스러운 분
✅ 단기 감량보다 유지 가능한 체형 관리’를 원하시는 분
💬 제품이 궁금하시다면?
탑쉐이프는 단순한 다이어트 보조제가 아니라
몸의 밸런스를 되찾는 건강관리 제품이에요 🌿
섭취 방법이나 본인 체질에 맞는 조합이 궁금하신 분들은
1:1 상담으로 맞춤 안내 도와드리고 있어요 💌
“나에게 맞을까?”
“다른 PM 제품과 함께 먹어도 될까?”
부담 없이 문의주세요.
건강하게 체형을 관리하는 방법, 함께 찾아드릴게요.
#독일PM #탑쉐이프 #건강다이어트 #체질개선 #NTC기술 #PM인터내셔널 #자연감량 #건강관리 #피엠탑쉐이프 #균형다이어트
#독일PM문미
#독일PM주스문미
#독일PM인터내셔널주스
#독일PM주스
#독일PM추천인코드20988000</t>
  </si>
  <si>
    <t>#독일PM, #탑쉐이프, #건강다이어트, #체질개선, #NTC기술, #PM인터내셔널, #자연감량, #건강관리, #피엠탑쉐이프, #균형다이어트, #독일PM문미, #독일PM주스문미, #독일PM인터내셔널주스, #독일PM주스, #독일PM추천인코드20988000</t>
  </si>
  <si>
    <t>https://postfiles.pstatic.net/MjAyNTExMDJfODMg/MDAxNzYyMDE1ODg3MTA2.C4zRkdECnZ2-_LfHaEmud5qFV7H77K9ItH-jnT9Q36og.d6ZRu85-tGkz3rMsSeWHW1YgHkXBMtS98_yF1A3KQyog.JPEG/900%EF%BC%BF1762013839883.jpg?type=w80_blur|||https://postfiles.pstatic.net/MjAyNTExMDJfMjcw/MDAxNzYyMDE1ODg3ODM4.gSYunl4RnKubkUIK9umRS3aYl8MU-LV6ws5mkIjP0qsg.Ln2NrStw05Q0KeZYDQ_tPjqWfKMyt_yc1SJnOsDyRdsg.JPEG/900%EF%BC%BF1756533752759.jpg?type=w80_blur|||https://postfiles.pstatic.net/MjAyNTExMDJfMTgz/MDAxNzYyMDE1ODg4NDU4.54kIbi2lsZJtVcfnsdtshVSzk_YLwlE_pgVKX2Dg3sEg.BueVdgYTWw68u3cy2I2S2-cQgllIW87juO5fRK56fL0g.JPEG/900%EF%BC%BF1756533751053.jpg?type=w80_blur|||https://postfiles.pstatic.net/MjAyNTExMDJfMjk5/MDAxNzYyMDE1ODg5MTU3.nKxEdWiir9EVv3beUdjLmoXneBLnYzI5eF4R2quJ21Ag.MLhFejc-SamzGusWcdL-5tMvTARzs_qpIim0FxXR8hcg.JPEG/900%EF%BC%BF1756533751972.jpg?type=w80_blur|||https://postfiles.pstatic.net/MjAyNTExMDJfMTA1/MDAxNzYyMDE1ODg5NzM2.uSkJjai3hVDmIRrQMi2kb1KpaMXGsb-d2sSGde_Szx4g.hLSw14mZEClwdINgallG9bQdztfGg6Nz2dpIkKFRbeIg.JPEG/900%EF%BC%BF1756533750138.jpg?type=w80_blur|||https://postfiles.pstatic.net/MjAyNTExMDJfNjAg/MDAxNzYyMDE2NjUzMzk5.QatwdUiTlybiGrpPh8DzSs_oeGMPudmoOpAIObD8B-sg.D5A9AdSAjreD48-ejwZ3rJsM99WfBx5RC65J9d23dQkg.JPEG/900%EF%BC%BF1759397219236.jpg?type=w80_blur|||https://postfiles.pstatic.net/MjAyNTExMDJfODkg/MDAxNzYyMDE2NjU0Mzg1.Hd5w09F6KUgbSMz-NE-qBJ0H-8piYmtqqzKj7bia4dIg.PMdjjSMjlTi1o-Sxcr2le7dq1wdx2QGlw6tvYJaur5cg.JPEG/900%EF%BC%BF1759397219476.jpg?type=w80_blur|||https://postfiles.pstatic.net/MjAyNTExMDJfNTcg/MDAxNzYyMDE1ODg3ODk4.7gx8o7AHcYsU-9chDhpLK-1v5y9-z7KhcgYL5WUo1sEg.B86CpNtbbuG7Xtkt9lH6buKu9v1ycDm59WeTO0RWISUg.JPEG/900%EF%BC%BF__25%EB%85%847%EC%9B%94%EF%BC%8D%ED%95%B4%EA%B0%95%EB%B6%81NEW%EB%B2%84%EC%A0%84%EF%BC%BF250831%EF%BC%BF022039%EF%BC%BF6.jpg?type=w80_blur|||https://dthumb-phinf.pstatic.net/?src=%22https%3A%2F%2Fblogthumb.pstatic.net%2FMjAyNTExMDJfMjM1%2FMDAxNzYyMDkzNDU2MzI3.ioBXKsVAeqkYEaaBCv9ZBwvnw8z02uFkfm50iLkLqGQg.gVcr3Hp9fNgsuGQA_oIK9R76nGQpGakfe9-S0A7k3Sog.JPEG%2F900%25A3%25DFScreenshot%25A3%25DF20251102%25A3%25DF211921%25A3%25DFChrome.jpg%3Ftype%3Dw2%22&amp;type=ff500_300|||https://postfiles.pstatic.net/MjAyNTExMDJfMTM5/MDAxNzYyMDE1ODg3MTM5.OpaWflOqt_-0oTvc9ANz4aFQhulLtliDnnnb_UGzzXgg._SOuIny2A7Lkqr0WJT1JdlKNL2U1JByUd2vEnsu0g7Ig.JPEG/900%EF%BC%BF1762014549217.jpg?type=w80_blur|||https://postfiles.pstatic.net/MjAyNTExMDJfMjQy/MDAxNzYyMDE1ODg5MTk4.K82L5OnC1MSiSBLAS0RHhmoKx1PhNJBTYRrENTgBZ7Qg.ywdIVaJi23L3RdFUOxDAZs_iEL-HKxxh5coouxqmxkQg.JPEG/900%EF%BC%BF1756564987005.jpg?type=w80_blur|||https://postfiles.pstatic.net/MjAyNTExMDJfMjQy/MDAxNzYyMDE1ODkwMjAw.ySHaZaQwAHS7R9hj2Z2zMIua-ZncJoEkHVu6ciszHykg.A0W-DzI8_4NYaS-8X4x6CyjjeYmipeckB4FI5UMA1jYg.JPEG/900%EF%BC%BF1756564986946.jpg?type=w80_blur|||https://postfiles.pstatic.net/MjAyNTExMDJfMTA2/MDAxNzYyMDE1ODkxNTg1.CK01R6f-DOQSxbbGmtImfIWIBoQbMXBn3eaKQGpxkA8g.NpcxB0kISYuHJcldJhH0s82C6_1BO8rBJBlGwWNz0z8g.JPEG/900%EF%BC%BF1756564986898.jpg?type=w80_blur|||https://postfiles.pstatic.net/MjAyNTExMDJfMjU1/MDAxNzYyMDE1ODkyODky.HF3NS9KblQejc_8nxz3twPxzflyBwOeR_ZlQOCT_TgMg.P2rnxv7LSx2FhbMYtXf-9tiXTQg-xWWyMv79Ol7PT1wg.JPEG/900%EF%BC%BF1756564986837.jpg?type=w80_blur|||https://postfiles.pstatic.net/MjAyNTExMDJfMjk3/MDAxNzYyMDE1ODg3MDYz.h7tBRc1E6VifufOBkSHQYiaN7VtR4Sx6YcUUguInY_Ig.M_OFZCSqb6SVBJAbOzsX8dmrwx-KtbVkWZC2GOwxhQkg.JPEG/900%EF%BC%BF1762004527010.jpg?type=w80_blur|||https://postfiles.pstatic.net/MjAyNTExMDJfODIg/MDAxNzYyMDE1ODg4MTI3.cwfgPTh5TGJp87jtntnVkRm_QRNP4rSa0qxk_Ntckv8g.jJEqxAvY-2X5OimWNkHGArB_qgvUbEZABL_XmS6b8P8g.JPEG/900%EF%BC%BF1744504603101.jpg?type=w80_blur</t>
  </si>
  <si>
    <t>드려요</t>
  </si>
  <si>
    <t>피엠인터내셔널 액션팩 연중 최저가 파격행사, .. : 네이버블로그</t>
  </si>
  <si>
    <t xml:space="preserve">기업의 방향, 최고의 제품을 가장 좋은 타이밍에 구매하실수 있으세요:) 궁금하신점은 연락주세요^^ 회원가입 안내 해 드립니다:) 함께 보면 좋은글^^클릭 #액션팩 #피엠인터내셔널코리아 #피엠인터내셔널... </t>
  </si>
  <si>
    <t>blog.naver.com/njob_</t>
  </si>
  <si>
    <t>https://blog.naver.com/njob_/224061510536</t>
  </si>
  <si>
    <t>njob_</t>
  </si>
  <si>
    <t>피엠인터내셔널 액션팩
피엠인터내셔널 액션팩
피엠인처내셔널 액션팩
안녕하세요:)
피엠 쏨언니입니다.
11월1일 회사에서 큰이벤트가
진행된다고 했는데,
정말 깜짝 놀랄만한 소식으로
아침부터 피엠사업자들방이
떠들썩했습니다^^
쏨언니가 어제 블로그에
피엄주스 최저가 이벤트를 올렸는데,
와우.!!
액션팩!!
파워칵테일, 리스토레이트를
추가로 주는 역대급 행사 진행중입니다!
피엠 회원 가입 후,
오토십 신청하신분들께
액티바이즈 1개 증정하는 이벤트도
와우~회사에서 통크게 푼다라고
느꼈는데요~
진짜 역대급 행사인거예요~^^
저는 3년전부터 먹었는데,
역대급행사는 처음이였어요~
이유는 한국 오픈한지 7주년 기념이랍니다
액션팩이란,
파워칵테일 5박스 리스토레이트 5박스
한세트당 109,120원꼴로
총 545,600원으로 구매하실 수 있어요
이렇게 5세트를 1조라고 합니다^^
액션팩 2세트(2조)를 구매하시면
파워칵테일2박스 리스토레이트2박스
무료증정하는 이벤트에요.
회사 스케일이 참 크죠~?^^
통크게 쏘는 이때~!!
구매하기 딱 좋은 타이밍이죠^^
피엠인터내셔널 회사
포브스에 실린 롤프소로그회장님.
기업의 방향,
최고의 제품을 가장 좋은 타이밍에
구매하실수 있으세요:)
궁금하신점은 연락주세요^^
회원가입 안내 해 드립니다:)
함께 보면 좋은글^^클릭
돈 안 드는 기회, 피엠 무료회원가입 → 오토십 → 풀세트 사업까지 지금이 타이밍
돈 안 드는 피엠 무료회원가입, 지금이 타이밍.! 안녕하세요:) 피엠파트너 전소미입니다.!! 돈 안 드는 피...
m.blog.naver.com
#액션팩 #피엠인터내셔널코리아 #피엠인터내셔널 #피엠쏨언니 #피엠주스 #파워칵테일 #리스토레이트 #피엠행사 #건강주스 #롤프소로그 #포브스 #건강산업
#네트워크마케팅 #ABO #피엠오토십 #정기구독 #건강기능식품 #독일주스 #건강 #영양제 #빅이벤트 #액션팩행사 #피엠액션팩 #피엠다이어트 #혈관건강 #다이어트 #산소 #혈행개선 #쏨언니건강한수다</t>
  </si>
  <si>
    <t>#액션팩, #피엠인터내셔널코리아, #피엠인터내셔널, #피엠쏨언니, #피엠주스, #파워칵테일, #리스토레이트, #피엠행사, #건강주스, #롤프소로그, #포브스, #건강산업, #네트워크마케팅, #ABO, #피엠오토십, #정기구독, #건강기능식품, #독일주스, #건강, #영양제, #빅이벤트, #액션팩행사, #피엠액션팩, #피엠다이어트, #혈관건강, #다이어트, #산소, #혈행개선, #쏨언니건강한수다</t>
  </si>
  <si>
    <t>https://storep-phinf.pstatic.net/ogq_6422ce62f765b/original_3.png?type=p100_100|||https://storep-phinf.pstatic.net/ogq_6422ce62f765b/original_3.png?type=p100_100|||https://storep-phinf.pstatic.net/ogq_63bbde5635df9/original_1.png?type=p100_100|||https://storep-phinf.pstatic.net/ogq_63bbde5635df9/original_3.png?type=p100_100|||https://postfiles.pstatic.net/MjAyNTExMDFfMjIz/MDAxNzYyMDA4NDE2NTY5.tTHog96S3xd7QfVqeER9_vxrMmbwxION30WhhZDAnV8g.0BW7CXuY1YKsNRpT4zxmHV4AvQQT1v_bJSzYOf_7OQ4g.PNG/1761963778172.png?type=w80_blur|||https://postfiles.pstatic.net/MjAyNTExMDFfMjg5/MDAxNzYyMDA4NDEzNTM5.Wv_QD5Sv-HVA0f7r2uAXq1qnJ5SVfKyN-C_ahVukPugg.g035tVcGr_kCarFAAa2z9THkhOHUD5xGmQ4muoqF9d4g.PNG/1761963781183.png?type=w80_blur|||https://postfiles.pstatic.net/MjAyNTExMDFfODQg/MDAxNzYyMDA4NDE2NzQ2.4IkTYb27o5e804juovXQ7bIOmG6rzuTT9RcfrjCi52Ug.j8mP0eak7Psl6U-H76iSntsgZkjfp05obkBfVE0RghAg.PNG/1761963785576.png?type=w80_blur|||https://postfiles.pstatic.net/MjAyNTExMDFfMjk4/MDAxNzYyMDA4NDEwNzM1.kxh2TF13Hk1f39h4ARmSCxKJDbrjc0Xs7WeH10iAI8og.ehJQ0m75NlwuME9ep7L2_UYHHh3cNqQy8cRrjruTVisg.JPEG/1761961425270.jpg?type=w80_blur|||https://postfiles.pstatic.net/MjAyNTExMDFfMTAy/MDAxNzYyMDA4NDEwODkx.0lexavrJ3jUtAfGVXD07tF76HnMsrs6gNu7NjNz_fzEg.vg9OwmFl1e3d5aBXp1xT_6-bn_Bj6IfYClfujnRKSpkg.JPEG/1761961350120.jpg?type=w80_blur|||https://postfiles.pstatic.net/MjAyNTExMDFfNTcg/MDAxNzYyMDA4NDE0Njkz.Wv7hB8yXHR8fJfM9JdVWzorboxnPl1wYirXdgZTy56Mg.3y_RNhZtjr9ck27bdvdAxwlvVBkFr_m2Lfen_3mAbvcg.JPEG/1761961322825.jpg?type=w80_blur|||https://storep-phinf.pstatic.net/ogq_63bbde5635df9/original_3.png?type=p100_100|||https://postfiles.pstatic.net/MjAyNTExMDJfMjUx/MDAxNzYyMDA5MjgxMzQy.7g67IR8-9qaizUpgI4XshQlzfvGURa1wVBzlSyJS1NEg.uGGM0HfqHBLcJxZ09Roa0MOyAJZbkL2DxlR3ZoFtJPcg.JPEG/1762008390756.jpg?type=w80_blur|||https://postfiles.pstatic.net/MjAyNTExMDFfNDYg/MDAxNzYyMDA4NDE2OTE3.74hnCkYOqPWMZae80ZgtleP10FNTBAhUp_TJHVWYLnAg.AE32sz3MoMDNdeg3jIDX5xQ4U3D7wr45FEPzV6nJ8jog.JPEG/BandPhoto%EF%BC%BF2025%EF%BC%BF10%EF%BC%BF31%EF%BC%BF11%EF%BC%BF02%EF%BC%BF27%EF%BC%BF1.jpg?type=w80_blur|||https://postfiles.pstatic.net/MjAyNTExMDFfMzEg/MDAxNzYyMDA4NDE0Njcx.Lkpimp4N9oI79ctlu0fGnI5EdyTqpEV1-nOn5ekauAUg.cuctZzOJh6Vk34hlfJ9YMttmC3fJHksl9MzrIJY25ZEg.JPEG/BandPhoto%EF%BC%BF2025%EF%BC%BF10%EF%BC%BF31%EF%BC%BF11%EF%BC%BF00%EF%BC%BF49%EF%BC%BF12.jpg?type=w80_blur|||https://postfiles.pstatic.net/MjAyNTExMDJfMjcg/MDAxNzYyMDA5MjgxNjY1.SVS71e69j5JzVGm3IiwFJI54lgzOiDt5kNgR2dYzC88g.GSRIzNOrP2WpR23ezJj2rBdMNskLb6U3eC8pv7AdDYAg.PNG/1762008358511.png?type=w80_blur|||https://dthumb-phinf.pstatic.net/?src=%22https%3A%2F%2Fblogthumb.pstatic.net%2FMjAyNTEwMDFfMjEy%2FMDAxNzU5MzAwMTMzNDcy.CKJIKhykB6A16_56XsP3GYpVUwkQePTAE-KREMc5DGEg.VAWZHKfiMiCdVtlRQB6rkAPuKOFhPBq7-8g3uk_v0EMg.JPEG%2F001.jpg%3Ftype%3Dw2%22&amp;type=ff500_300</t>
  </si>
  <si>
    <t>🎉7년 만의 대이벤트! : 네이버 블로그</t>
  </si>
  <si>
    <t xml:space="preserve">지금 FitLine과 함께 건강한 습관, 새로운 변화의 시작을 만들어보세요  https://www.pmi-korea.com/member/kakao/step01.do?data=Diyz%2BUu55za6sh7Ps6XhPnFsTXvh5gyAWT0DvCm%2FXcM%3D 구매방법 1.피엠인터내셔널... </t>
  </si>
  <si>
    <t>blog.naver.com/lovejoo153</t>
  </si>
  <si>
    <t>https://blog.naver.com/lovejoo153/224061494718</t>
  </si>
  <si>
    <t>lovejoo153</t>
  </si>
  <si>
    <t>FitLine 오토쉽(ABO) 신규 구독자에게 드리는 특별한 선물
2025년 10월, 드디어 **FitLine 내셔널 콩그레스(NC)**를 기념해
7년 만에 돌아온 오토쉽(ABO) 프로모션이 열렸습니다!
이번 기회는 단 한 달간, 신규로 FitLine 오토쉽(ABO)을 구독하시는 분들께
무려 FitLine 액티바이즈(스테비아) 1개를 무료 증정합니다 💥
⸻
💎 프로모션 기간
📅 2025년 10월 15일(00시) ~ 11월 14일(23시 59분)
⸻
🎁 혜택 내용
FitLine 오토쉽(ABO)에 새로 구독하신 모든 분들께
👉 FitLine Activize (스테비아) 1개 증정
에너지 충전, 집중력 향상, 피로 회복에 도움을 주는 FitLine Activize는
전 세계적으로 사랑받는 스테디셀러 제품이에요.
이번엔 오직 신규 ABO분들에게만 무료 선물로 드립니다!
⸻
🌿 FitLine 오토쉽이란?
FitLine의 오토쉽(ABO)은 매달 자동으로 제품을 받아보며 건강한 루틴을 유지할 수 있는 정기구독 프로그램입니다.
• 매달 건강 관리 루틴을 자동으로
• 회원 전용 혜택과 할인 적용
• 이번엔 한정 프로모션 선물까지!
⸻
✨ 지금이 바로 기회!
7년 만에 돌아온 한정 혜택을 놓치지 마세요.
지금 FitLine과 함께 건강한 습관, 새로운 변화의 시작을 만들어보세요 💪
https://www.pmi-korea.com/member/kakao/step01.do?data=Diyz%2BUu55za6sh7Ps6XhPnFsTXvh5gyAWT0DvCm%2FXcM%3D
피엠인터내셔널
독일 직접판매 업체, 건강기능식품, 화장품, 단백질 보충용 식품 등 판매
www.pmi-korea.com
구매방법
1.피엠인터내셔널 홈페이지 접속
2.팀파트터스 회원가입하기: 할인가에 구매할 수 있어요!!
3.오토쉽 (ABO)로 가입후 추천하시면 캐쉬백도 된답니다.
추천인번호 10070202 입력하기</t>
  </si>
  <si>
    <t>https://postfiles.pstatic.net/MjAyNTExMDFfMjAg/MDAxNzYyMDA3OTYwNjA2.Ozbm1R6OPvob-uxAJVcOz-GSWqzI6DWCSoKjc9MaSjsg.eBqVQMxS-2u9Y1zXMHgdfdWZriSF74YnjNS6SQvTA3Qg.JPEG/IMG%EF%BC%BF9512.jpg?type=w966|||https://dthumb-phinf.pstatic.net/?src=%22http%3A%2F%2Fwww.pmi-korea.com%2Fresources%2Fimage%2Fcommon%2Fsns_logo.png%22&amp;type=ff500_300</t>
  </si>
  <si>
    <t>하시면</t>
  </si>
  <si>
    <t>다단계 회사 순위 제2의 월급 마련할 곳은 어.. : 네이버블로그</t>
  </si>
  <si>
    <t xml:space="preserve">한국암웨이 애터미 피엠인터내셔널코리아 뉴스킨코리아 유니시티코리아 허벌라이프 유사나헬스사이언스코리아 매너테크코리아 시너지월드와이드코리아 비아블 그중 놀라운 성장세를 이어가고 있는... </t>
  </si>
  <si>
    <t>https://blog.naver.com/mct_cnc_/224061493880</t>
  </si>
  <si>
    <t>먼저 다단계 에 대한 바르지 못한 고정관념 하나 다단계는 불법일까?
뉴스에 나오는 불법 다단계 이야기는 물건 판매없이 회원가입만으로 다단계구조를 만드는 시스템입니다.
회원가입시 가입비를 내고, 한명 두명 내 밑으로 가입시키면 수당을 주는 구조가 불법입니다.
합법적인 다단계는 제품을 권유, 판매하고 실적에 따른 수당이 지급되는 구조 입니다.
2025년 기준 다단계 상위 10개 회사는 아래와 같습니다.
한국암웨이
애터미
피엠인터내셔널코리아
뉴스킨코리아
유니시티코리아
허벌라이프
유사나헬스사이언스코리아
매너테크코리아
시너지월드와이드코리아
비아블
그중 놀라운 성장세를 이어가고 있는 다단계회사, 바로 포스팅 주인공, " 피엠인터내셔널" 입니다.
작년대비 매출 증가가 다른 상위권 다단계회사 중에서 1등입니다. 이런 성장세라면 곧 머지않아 다단계회사 순위 1위가 될수도 있겠단 생각이 듭니다. 이부분에 관심을 가질 필요가 있습니다. 이런 놀라운 성장세의 원인이 무엇일까? 바로 제품력과, 수당시스템 입니다.
제품력이 좋으니 권유받은 사람들이 효과를 보고, 비즈니스로 전환을 많이 하는것이 아닐까요?
저도 처음에 직장동료가 제품을 먹는것을보고 이것저것 물어보다가 먹기 시작하였는데 상당히 괜찮더라고요. 그래서 비즈니스로 전환했습니다.
제가 생각하는 피엠인터네셔널 제품의 강점은 심플함 과 제품의 성분 입니다.
피엠인터네셔널 제품은 물에타서 먹는 분말로, 대표적인 제품 파워칵테일, 리스토레이트, 액티바이즈 등 제품라인이 매우 단순합니다.
또한 원료를 살펴보면, 천연유래성분, NO 합성성분, NO방부제, 꽤나 괜찮습니다. 인체에 꼭 필요한 무기질, 미네랄 ,비타민 , 전연채료 들로만
꽉 채웠습니다.
피엠인터내셔널
독일 직접판매 업체, 건강기능식품, 화장품, 단백질 보충용 식품 등 판매
www.pmi-korea.com
피엠인터내셔널 회원가입시 팀파트너 로 선택 하시고 (비즈니스 확장할수 있음 차후에) , 추천인번호 위 번호로 가입해주세요. 궁금한점이 있거나 도움이 필요하시면 제 블러그 찾아주셔서 언제든 문의 주시면 도와드리겠습니다.
다단계 사업에 있어서 가장 중요한것은 이 제품이 얼마나 좋은지 내가 스스로 체험해 보는것입니다. 먼저 제품을 구매해서 몇달 먹어보고 뭔가 좋은 느낌과 경험이 있어야 지인들에게 소개할때도 진정성이 있게되고 설득이 됩니다. 이 맥락에서 피엠인터내셔널 제품은 탁월합니다.
피엠인터내셔널 쥬스 를 오랜기간 몇년 드셔보신분들 보시면 한결같이 얼굴 피부가 장난이 아닙니다. 나이를 거꾸로 먹는 모습이죠.
저에게 첨 소개시켜주신 회사 이사님도 연세대비 피부가 엄청 고으셔서 깜짝 놀랬거든요. 그래서 제품에대해 신뢰가 더 생겼었죠.
전 두달째 먹고있는데 몸이 에너지로 충전된 느낌은 확실히 받았었요. 일을해도 전보다 더 집중해서 많이 하게 되었고요.
제품이 받혀주니 내 건강도 챙기고 비즈니스로 전환도 괜찮습니다. 다단계회사 검색하시는 중이시라면 독일PM쥬스 사업 꼭 공부해보시고
먼저 본인이 구매해서 드시고 느껴보시길 바랍니다. 강력 추천드립니다. 읽어주셔서 감사합니다.</t>
  </si>
  <si>
    <t>https://dthumb-phinf.pstatic.net/?src=%22http%3A%2F%2Fwww.pmi-korea.com%2Fresources%2Fimage%2Fcommon%2Fsns_logo.png%22&amp;type=ff500_300|||https://postfiles.pstatic.net/MjAyNTExMDFfMjIz/MDAxNzYyMDA3MDUwOTkz.-Os9XvvIs3crfIJrrwe8erA4EKLRiCK01O_fkj0bIqog.bVmfnPWLSZKF7thVPs4wPQYtBqq7i66JBHI6jRfxegcg.PNG/image.png?type=w80_blur|||https://postfiles.pstatic.net/MjAyNTExMDFfMTQw/MDAxNzYyMDA3NjM3NTkz.GKo6ATyLkg5aFR5kiekkhGv2fkG9rdrtkOd39ch6uzEg.D0SawIv_2jiCfE8ecMLqJjrwwECbFIVJn5w-WhFAjFQg.PNG/image.png?type=w80_blur|||https://postfiles.pstatic.net/MjAyNTExMDFfMTcy/MDAxNzYyMDA3NzQ3MTk4.fFzM_42ff5-Zzhjbmsf6Hsa2sFov8PH0aYbqDi7Nk-4g.bRR8pm--funR_1eOXAJt1EAWEUKSk9eFjbVIfDF3pMMg.PNG/image.png?type=w80_blur</t>
  </si>
  <si>
    <t>번호</t>
  </si>
  <si>
    <t>리스토레이트 효능 : 네이버 블로그</t>
  </si>
  <si>
    <t>꼭 피엠인터내셔널 공식 사이트에서 구매하세요. 회원가입시 &amp;quot;팀파트너&amp;quot; 로 가입 하시고, 추천인 코드 &amp;quot;21529313&amp;quot; 넣어주세요. 회원가입후 구매하시고 싶으신 제품 찾아서 쇼핑하시면 됩니다.</t>
  </si>
  <si>
    <t>https://blog.naver.com/mct_cnc_/224061453154</t>
  </si>
  <si>
    <t>독일pm쥬스 리스토레이트 저는 점심때 식후 30있다가 먹습니다. 주로 회사에서 먹게 되는데요. 빈속에 먹으면 위벽이 민감하신분은 약간 쓰라린 느낌이 있을수 있습니다. 제가 그렇더라고요. 그래서 점심 식후에 위에 음식물이 있을때 먹습니다. 같은 직장에 리스토레이트 3년 동안 드시고 계신 이사님 계시는데 고령에도 얼굴피부가 저보다 더 좋더라고요. 그래서 저도 시작하게 되었는데 뭐 일단 덜 피곤하고 몸이 가벼워지는 느낌 있고요
찬물에 잘 녹습니다. 조금 저어주면 완전히 녹습니다. 종이컵에 딱 타면 간 딱 맞습니다. 맛잇게 먹기 좋습니다.
물병에 타서 물처럼 수시로 먹어도 좋을것 같아요.
리스토레이트 포장지 뜯으실때 주의해야하실점은 분말이 아래쪽으로 모아진 상태에서 (탈탈터시면 아래쪽으로 몰림) 봉지를 뜯으세요 확 뜯으시면 분말이 공중에 비산되어 아까운 리스토레이트 분말이 많이 날아갑니다.
스푼으로 살짝 저어서 분말을 다 녹여주세요.
맛은 상큼한 레몬맛입니다. 레모나 맛입니다. 드시기 전혀 불편하지 않아요.
고품질 무기질 인체 필수적인 8종의 무기질 이 함유되어 있습니다. 미네랄과, 여러 비타민 성분도 함유되어 있고요. 건강해지는 느낌 충만합니다.
꼭 피엠인터내셔널 공식 사이트에서 구매하세요.
피엠인터내셔널
독일 직접판매 업체, 건강기능식품, 화장품, 단백질 보충용 식품 등 판매
www.pmi-korea.com
회원가입시 "팀파트너" 로 가입 하시고, 추천인 코드 "21529313" 넣어주세요.
회원가입후 구매하시고 싶으신 제품 찾아서 쇼핑하시면 됩니다.</t>
  </si>
  <si>
    <t>https://postfiles.pstatic.net/MjAyNTExMDFfMjkz/MDAxNzYyMDAzNTY3MjA3.bi1RHUt9zpUhg1c7RC1XzwCRy1o6jNWMYhMLfC35SWAg.PZWHHea0lMueMZ4MGAazFp9Q9jlHuH2VMnS80jsHbzIg.JPEG/SE-2fe707a7-5503-45ef-81cc-c1ecce5b78ad.jpg?type=w966|||https://postfiles.pstatic.net/MjAyNTExMDFfODIg/MDAxNzYyMDAzNTg0MzYw.PKPioz3R4mohNLDWvCc1cwdy1ExFjP-WtKHPYG72GGsg.6yz2GTDyedEsKvuRNUmYtFNUNqohj-WU_7OIZkPHqkgg.JPEG/SE-95bc110d-9899-4a3d-a7b8-f504e558d615.jpg?type=w80_blur|||https://postfiles.pstatic.net/MjAyNTExMDFfNzIg/MDAxNzYyMDAzNTk3NDM1.IDwv_--bSBnkMKGRjLrSCV88TaN9xsZngL4AtGMkWwAg.qdFMwY2P0gDfEsFJrt3HdJOLjMjFixFiRVoCk5uwLcog.JPEG/SE-79dac78a-e5e4-43f2-885c-09e424c2bd76.jpg?type=w80_blur|||https://postfiles.pstatic.net/MjAyNTExMDFfMjk5/MDAxNzYyMDA0NDQ2NzE2.nX5NW4sXBiKGPHEJuhTm7XNK3pRlQRfeGpSda0rOTRYg.AS9IInukBP6AanS_8GJSUH43FfYG7N2t0428s43Rzn8g.JPEG/SE-80b783b2-dd37-40cd-b951-34508a475d99.jpg?type=w80_blur|||https://postfiles.pstatic.net/MjAyNTExMDFfMTI1/MDAxNzYyMDA0NDMxOTg3.K-r6FpPmqIc7IW8XDqVFK_b8HF8fcWBtYwm7G61tXYQg.ywZNGMZwZ8_iOvBgUKSpCJjRJLxSKBJ5wvxgC09LuSQg.JPEG/SE-d69ddf3d-503f-4c6a-ab7c-50358cde6feb.jpg?type=w80_blur|||https://dthumb-phinf.pstatic.net/?src=%22http%3A%2F%2Fwww.pmi-korea.com%2Fresources%2Fimage%2Fcommon%2Fsns_logo.png%22&amp;type=ff500_300</t>
  </si>
  <si>
    <t>[독일피엠] 11월 다시없을 액션팩 프로모션 .. : 네이버블로그</t>
  </si>
  <si>
    <t xml:space="preserve">안녕하세요 피엠매니져 우연입니다! 피엠에서는 1년에 딱 두번 5월, 11월에만 액션팩 프로모션을... PM 인터내셔널 제품은 회원가입 후 구매가 가능하지만 회원가입이 부담스럽거나 어려우신 분들 혹은 구매... </t>
  </si>
  <si>
    <t>blog.naver.com/pmi_wooyeon</t>
  </si>
  <si>
    <t>https://blog.naver.com/pmi_wooyeon/224061391957</t>
  </si>
  <si>
    <t>pmi_wooyeon</t>
  </si>
  <si>
    <t>안녕하세요 피엠매니져 우연입니다!
피엠에서는 1년에 딱 두번 5월, 11월에만 액션팩 프로모션을 진행하고있습니다!
이번액션팩은 대박입니다..!!이럴수가ㅎㅎ
이번에 피엠에서 7주년 특별 프로모션이 열렸어요
올해 단 한 번, 가장 혜택이 큰 구성이라 공유드립니다
7주년 특별 프로모션 안내
오늘 오전 11시부터 구매가능!
2세트 주문 시 -&gt;본품 2박스(2개월분) 추가 증정!!
5개월 구성으로 2세트하시면 가장 저렴한 혜택으로
💙파워칵테일 + 리스토레이트 한 달 90,933원💙
가족 모두 함께 섭취하기 딱 좋은 가성비 구성이에요
🌿 평소 가족 모두 함께 드시는 분들이라면 놓치지 마세요!
부모님과 가족들과 친구들과 함께나눌수 있는 액션팩입니다
이번 11월, 건강한 습관으로 더욱 따뜻한 가정을 만들어보세요.💕
회사본사에서 직배송되는 제품이라 믿고 드실 수 있습니다
*쿠ㅇ,네ㅇ버 가품주의*
본사에서 직접 보내는 제품을 안심하시고
드실 수 있게 바로 배송 해 드립니다!
PM 인터내셔널 제품은 회원가입 후 구매가 가능하지만
회원가입이 부담스럽거나 어려우신 분들
혹은 구매 절차가 복잡하게 느껴지셨던 분들께는
제가 직접 구매 도와드릴 수 있습니
필요하신 분들은 편하게 연락 주세요💛
본인 카드 결제도 가능하십니다.
이번에는 조기품절 가능성이 상당히 높습니다!
한정 수량이라 놓치시면 내년 5월까지 기다리셔야 합니다😭
구매문의나 액션팩 문의 사항있으시면 아래 오픈챗이나 전화로 편하게 연락주세요🧡
010 6797 1362
010 6797 1362
문자로
주문 수량
성함
받으실 주소
전화번호
알려주시면 됩니다
https://open.kakao.com/o/shAEZHlh
카카오톡 오픈채팅
피엠 제품 구매 문의 ❤️우연pm
*조이핏을 매달 모집 하고 있습니다*
건강하게 다이어트 하실분
친구들과 함께, 연인과함께, 가족과 함께
우리 모두 건강하게 디톡, 다이어트 해요
급하게 하지 않아요 천천히 꾸준히 맛있게
즐겁게 하실 수 있습니다.
다이어트,디톡스,조이핏 관심 있으신 분들 모두 함께 해요
*매달 모집중입니다.
개인적으로 관리해드려요
1 대 1 , 소수인원 관리 🧡</t>
  </si>
  <si>
    <t>https://postfiles.pstatic.net/MjAyNTExMDFfMTgg/MDAxNzYyMDAwMTg4Mjc0.-2qH8eFCqSYDri8E-fmTFtOxNCUMxPIr_2pDeStAwTkg.4BsBNXEzHHd2oReiAW2k0rMicn89KQ1AcQPjK6EFk44g.PNG/900%EF%BC%BF1761998027187.png?type=w80_blur|||https://storep-phinf.pstatic.net/motion2d_01/original_9.png?type=p100_100|||https://postfiles.pstatic.net/MjAyNTExMDFfMjU1/MDAxNzYyMDAwMTQ2NzA0.EOj5rqCUJwFoC7AT4h2QVK_la3MtTylmnu-3zAEpETQg.JRAnX_B8QyXaPgSGmtcyiLOxHHRkGr0U4VDNK5vu-RMg.JPEG/900%EF%BC%BF1761961531468.jpg?type=w80_blur|||https://postfiles.pstatic.net/MjAyNTExMDFfNjgg/MDAxNzYyMDAwMDczMjEx.zIck9bcX8hfpxtwkkDNTlMGRVWLdLlowiSTXxf_C1oEg.T8MmsFbbmMlRJ2fsBQ5xcdFVr9HYAZiT3sLDUt2425Ig.JPEG/900%EF%BC%BF1761878080770.jpg?type=w80_blur|||https://postfiles.pstatic.net/MjAyNTExMDFfNzAg/MDAxNzYxOTk5NTQ1MTc3.QeOqauXnl_gamZS7jWuxhfozRtSlpV1gbGCkM1gMOL4g.BBBW1zJsIpRLWKAJhuzg2bqd0SPs5e7LzX3JYG_K2dUg.JPEG/900%EF%BC%BF1761961531468.jpg?type=w80_blur</t>
  </si>
  <si>
    <t>010-6797-1362</t>
  </si>
  <si>
    <t>🇰🇷 피엠코리아 7주년 한정 액션팩 프로모.. : 네이버블로그</t>
  </si>
  <si>
    <t xml:space="preserve">프로모션 피엠코리아가 7주년을 맞아 액션팩(파워칵테일 + 리스토레이트) 1년 구성 세트를 역대급... 속초피엠#양양피엠 #고성피엠#조이그룹#조이핏#pm.hanla #다이어트코치 #피엠코리아 #오토십 #액션팩... </t>
  </si>
  <si>
    <t>blog.naver.com/mchanna</t>
  </si>
  <si>
    <t>https://blog.naver.com/mchanna/224062581587</t>
  </si>
  <si>
    <t>mchanna</t>
  </si>
  <si>
    <t>안녕하세요~아시아 1위 조이그룹,
건강을 전달하는 다이어트코치 속초pm입니다.
오늘은 11월에 특급 액션팩 프로모션 안내및 외국 액션팩과 가격비교를 해드릴께요~(한국 액션팩이 얼마나 가격적인면에서 좋은지~)
“1년 12세트 1,091,200원!
온가족이 함께할 수 있는 오토십 한정 혜택✨”
---
💡 – 7주년 기념, 지금만 가능한 오토십 초특가 프로모션
피엠코리아가 7주년을 맞아
액션팩(파워칵테일 + 리스토레이트) 1년 구성 세트를
역대급 조건으로 만나볼 수 있는 특별 프로모션을 진행 중입니다.
이번 혜택은 단순한 할인 행사가 아니라,
“오토십(Autoship)”을 통해서만 가능한 특별 구성이에요.
즉, 정기구매로 설정하면 가격 혜택 + 추가 증정분 + 안정적 공급을 한 번에 누릴 수 있습니다.
---
🧾 오토십이란?
**오토십(Autoship)**은 피엠 공식몰에서 운영하는
정기배송 시스템으로,
매달 자동으로 제품이 발송되어
꾸준히 관리할 수 있도록 돕는 제도입니다.
&gt; 💬 간단히 말해, “매달 자동 결제되는 방식 + 추가 혜택이 함께 따라오는 똑똑한 구매 방식!”(피엠은 3달치 제품을 첫번째 결제달에 한번에 배송받아요~^^)
그러나 10월15일~11월14일 오토쉽 혜택이 하나 더있다는걸 놓치시면 안되요~^^ 바로 신규로 오토십을 하시는 분들께는 액티바이즈 한통을 증정하고 있답니다.
---
🟢 오토십으로 구매할 경우
1년(12세트) 기준 1,091,200원
813,200원 할인 혜택
2개월 분 추가 증정
정식 수입 / A/S / 포인트 적립 가능
자동 결제로 재구매 번거로움 ZERO
&gt; ✅ “꾸준히 관리할 분들에게는 오토십이 가장 경제적이에요.”
---
⚪ 오토십이 어렵다면?
오토십 신청이 부담스럽거나
정기배송을 원치 않는 분들은 일반 구매도 가능합니다.
오토십 등록이 처음이라 어렵게 느껴지시거나 ,오토십이 아니어도, 톡톡 문의를 통해 동일 구성으로 구매 안내를 받을 수 있어요.”
---
💰 국내외 가격 비교
구분 구성 정가 프로모션가 혜택
피엠코리아 (한국) Power Cocktail + Restorate (12세트) 1,904,400원
813,200원 할인 + 2개월분추가 증정= 1,091,200원
증정 (오토십 한정)
PM 싱가폴 (공식몰) Action Pack 5X (5세트) SGD 741 ≈ 750,000원 12세트 환산 시 약 1,800,000원대 해외 대비 약 700,000원 절감
➡ 한국 프로모션은 해외가 대비 약 40% 절약 효과,
게다가 공식 정품 + 국내 A/S 지원까지 모두 포함되어 있습니다.
---
🏷️ 이번 프로모션, 왜 지금 사야 할까?
💡 1️⃣ 오토십으로 ‘꾸준함 + 혜택’을 동시에
건강관리는 “지속성”이 핵심이에요.
오토십을 통해 자동결제와 결제 첫달에 3개월치 제품이 한꺼번에 도착해서
꾸준히 관리할 수 있습니다.
게다가 매월 결제(결제일:5일,15일,25일중 선택) 금액 고정으로 가격 변동 걱정도 없습니다.
---
💡 2️⃣ 813,200원 절감 + 2개월 분 추가 증정
1년치 세트를 한 번에 구성하면
실질적으로 14개월분을 12개월 가격으로 확보하는 셈이에요.
온가족이 함께 사용할 수 있는 양이라
부모님, 배우자, 자녀와 공유하기에도 충분한 구성입니다.
---
💡 3️⃣ 공식 수입 제품의 안정성
직구와 달리 피엠코리아 오토십은
정식 통관·보관·배송 시스템으로 운영되어
정품 보장과 함께 A/S 및 포인트 적립도 가능합니다.
가족이 함께 사용할 제품이라면 안정성이 최우선이죠.
---
💡 4️⃣ 7주년 한정, 재판매 예정 없음
이번 구성은 7주년 기념 한정 수량 이벤트로
동일 조건으로 다시 진행되지 않을 가능성이 큽니다.
조기 품절 시 자동 종료되니 빠른 확인이 필요합니다.
---
구성 12세트 + 2개월 추가 개별 세트 구매 가능
혜택 813,200원 할인
편의성 매우 높음 단기 구매용 적합
---
✨
이번 피엠코리아 7주년 오토십 프로모션은
가격 혜택, 관리 편의성, 안정성, 가족 활용성까지 모두 갖춘 구성입니다.
&gt; 💬 “온가족이 함께 챙길 수 있는 제품을,
가장 합리적인 조건으로 만날 수 있는 단 한 번의 기회.”입니다.
👉 오토십으로 등록 시 가장 큰 혜택이 있지만
비오토십 구매는 톡톡 문의를 통해 안내받기 바랄께요!
https://m.blog.naver.com/mchanna/224050515016
⚡ 2025년 10월11월 기간 한정! 피트라인 오토십(ABO) 프로모션!액티바이즈 증정!!!!!
안녕하세요~아시아 1위 조이그룹, 건강을 전달하는 다이어트코치 속초pm입니다. 오늘은 (오토십)구독시 액...
m.blog.naver.com
궁금할 땐 네이버 톡톡하세요!
---
#추천인21122717#속초피엠#양양피엠
#고성피엠#조이그룹#조이핏#pm.hanla
#다이어트코치
#피엠코리아 #오토십 #액션팩 #7주년프로모션 #피엠할인 #파워칵테일 #리스토레이트 #온가족건강 #정기배송 #피엠톡톡문의 #건강관리루틴
ㅈㄹ</t>
  </si>
  <si>
    <t>#추천인21122717, #속초피엠, #양양피엠, #고성피엠, #조이그룹, #조이핏, #pm, #다이어트코치, #피엠코리아, #오토십, #액션팩, #7주년프로모션, #피엠할인, #파워칵테일, #리스토레이트, #온가족건강, #정기배송, #피엠톡톡문의, #건강관리루틴</t>
  </si>
  <si>
    <t>https://postfiles.pstatic.net/MjAyNTExMDNfMTIz/MDAxNzYyMTExNTIwMDM1.gZhk_bcYoPDTy9wNb2vLDXfPNakd6PZ0rt6gDYHrvdMg.EGGHv4QubtOg6Yzw1guZTZr4D0YERCQt2DLJ4m9JBH0g.JPEG/900%EF%BC%BFScreenshot%EF%BC%BF20251102%EF%BC%BF225532%EF%BC%BFInstagram.jpg?type=w80_blur|||https://postfiles.pstatic.net/MjAyNTExMDNfMjcg/MDAxNzYyMTE1MzMyMjg1.KkweG20sVVuFzcocAAeUneanbEgsXiiTpxVAUa1UbnQg.c3aqCVmJaKvlVPSeGGwpkuZpK59gE6vya8uNqQg13Wcg.JPEG/900%EF%BC%BFScreenshot%EF%BC%BF20251101%EF%BC%BF232750%EF%BC%BFInstagram%EF%BC%881%EF%BC%89.jpg?type=w80_blur|||https://postfiles.pstatic.net/MjAyNTExMDNfMTMg/MDAxNzYyMTEzNTEwMDUz.Mjj_RXMGCZsYIe-_gOg4v4yG3pCObVQEcXD6GeUtg2wg.DSBf5Odro06EKl1dk-1yHxbmeNZPQe_Yo_o003HAOL4g.JPEG/Screenshot%EF%BC%BF20251022%EF%BC%BF232253%EF%BC%BFKakaoTalk.jpg?type=w80_blur|||https://postfiles.pstatic.net/MjAyNTExMDNfMTc2/MDAxNzYyMTE0NzAxNDU2.q389wLGO6ws6VSkOdaD4CYjgIxxnoqGhfkH8PCxJF_Yg.h4TF4hOXQm7XFio54JnIKQmxfOsW-wc0AoqKpy4Ws9Ug.JPEG/900%EF%BC%BFScreenshot%EF%BC%BF20251023%EF%BC%BF012242%EF%BC%BFKakaoTalk.jpg?type=w80_blur|||https://dthumb-phinf.pstatic.net/?src=%22https%3A%2F%2Fblogthumb.pstatic.net%2FMjAyNTEwMjNfNDMg%2FMDAxNzYxMTQ2NDIwMjIx.BGHQfWWJeSGRVgclT-jTYE4NVsGeAOlXwWUCdx6vtXUg.8ojHRutY1IbebXNRCH0xnJzkNWytZ6w55WnEaGeQoZMg.JPEG%2FScreenshot%25A3%25DF20251022%25A3%25DF232253%25A3%25DFKakaoTalk.jpg%3Ftype%3Dw2%22&amp;type=ff500_300</t>
  </si>
  <si>
    <t>🩵 이번 달 피엠 혜택 총정리 피엠코리아 7.. : 네이버블로그</t>
  </si>
  <si>
    <t xml:space="preserve">2025년 11월은 피엠코리아 7주년 기념 달로, 그동안 꾸준히 사랑받아온 대표 세트 액션팩(파워칵테일 + 리스토레이트) 을 한정 기간 동안 특별한 가격으로 만나볼 수 있는 기회가 열렸습니다. 이번... </t>
  </si>
  <si>
    <t>blog.naver.com/tjdgml8175</t>
  </si>
  <si>
    <t>https://blog.naver.com/tjdgml8175/224061863089</t>
  </si>
  <si>
    <t>tjdgml8175</t>
  </si>
  <si>
    <t>안녕하세요 :)
피엠(PM International)
제품으로 꾸준히 건강 루틴을 관리하시는 분들이라면
이번 소식을 꼭 확인하셔야 해요.
2025년 11월은 피엠코리아 7주년 기념 달로,
그동안 꾸준히 사랑받아온 대표 세트
액션팩(파워칵테일 + 리스토레이트) 을
한정 기간 동안 특별한 가격으로 만나볼 수 있는
기회가 열렸습니다.
이번 글에서는
📦 액션팩 구성부터
💰 할인 혜택, 🎁 추가 증정 조건까지
한눈에 보기 쉽게 정리해드릴게요.
🔹 액션팩이란?
액션팩은 피엠의 대표 제품 두 가지가 함께 들어있는 세트입니다.
• 파워칵테일 (Power Cocktail)
• 리스토레이트 (Restorate)
아침과 저녁의 루틴에 맞춰 구성되어 있으며,
균형 잡힌 영양 섭취를 간편하게 챙기고 싶은 분들에게 꾸준히 선택받고 있는 제품이에요.
(※ 제품의 체감은 개인의 식습관 및 생활환경에 따라 달라질 수 있습니다.)
💰 피엠코리아 7주년 초특가 이벤트 안내
이번 행사는 11월 1일 ~ 11월 30일까지 진행되며,
소진 시 조기 종료될 수 있습니다.
✅ 피엠 오토십회원 참여 가능
✅ 카드 무이자 3~6개월 적용 가능
✅ 11월 한 달간만 진행되는 한정가
*오토십 미보유시 ,대리 주문 가능합니다.
댓글이나, 톡톡, 오픈채팅 주세요.
💡 예를 들어,
액션팩 2세트를 구매하면 총 12개월 분으로 구성되어
1년 동안 여유 있게 사용할 수 있습니다.
🌿 액션팩, 이런 분들께 추천드려요
• 바쁜 일정 속에서 규칙적인
식사 관리가 어려운 분
• 간편하게 영양 밸런스를 챙기고 싶은 분
• 가족과 함께 건강 루틴을 만들어가고 싶은 분
• 피엠 제품을 처음 체험해보고 싶은 분
액션팩은 일상 속 영양 밸런스 관리용 세트로,
피엠 회원들 사이에서도 가장 인기가 높은 조합이에요.
올해 11월은 피엠코리아가 함께 걸어온
7년의 여정을 기념하는 뜻깊은 달이에요.
평소 액션팩을 알아보셨던 분들이라면
이번 7주년 초특가 프로모션을 통해
더 합리적인 가격으로 구성된 세트를 만나보시길 추천드립니다.
필요한 기간만큼 여유롭게 준비해서
나와 가족의 건강 루틴을 꾸준히 관리해보세요 🌿
독일 피엠 이성희 10074999
http://talk.naver.com/W43LSW
독일PM이성희 - 네이버톡톡
PM international / 독일PM사업 후원인코드 10074999 이성희
talk.naver.com
https://open.kakao.com/me/tjdgml8175
이성희(매니저)님의 오픈프로필
open.kakao.com</t>
  </si>
  <si>
    <t>https://postfiles.pstatic.net/MjAyNTExMDJfMTk0/MDAxNzYyMDU0NTMzMDIz.I5yOKM6Cue8VoU6JXEFc8UpJu_1QqVpg62pwmAtzvvwg.IBWa3P0QyeVffgYr8dRW-H6nY1lxImeivVKNZQwTm_Mg.JPEG/IMG%EF%BC%BF0639.jpg?type=w80_blur|||https://postfiles.pstatic.net/MjAyNTExMDJfNTcg/MDAxNzYyMDU0NTY0NDgx.zs_UfKbNc5OzQet7bsMRtZSyRy-Y5_8Ys-lJCO0eMcMg.50kfcpsv9AwyOUrjgLyWjPPofZWFmb1l9UgJb_f59GIg.JPEG/IMG%EF%BC%BF0635.jpg?type=w80_blur|||https://postfiles.pstatic.net/MjAyNTExMDJfNTEg/MDAxNzYyMDU0ODAzMDkx.CbuSOecKj1d38p4ppVZMUyNIO0DZ_0A4Ya2vtHD6zgAg.NLFugzDwzwBTz2vGjGfRnAWBxAITgvPyc1K52r8lU90g.JPEG/67FE4AEE%EF%BC%8D9941%EF%BC%8D449D%EF%BC%8D990B%EF%BC%8DCFE61B90938A.jpg?type=w80_blur|||https://postfiles.pstatic.net/MjAyNTExMDJfMjIy/MDAxNzYyMDU0ODAzMDcx.MDwKHqaLkrNxqqogM0S-S_kQhoUVLOQ-ohKX9p8AY64g.ijjB1YlLx537029cWNG39qfFM4t6i3UmOKIFFZWdkP0g.JPEG/9D16252D%EF%BC%8D1285%EF%BC%8D4CA0%EF%BC%8D8B9F%EF%BC%8D75E115D14B20.jpg?type=w80_blur|||https://postfiles.pstatic.net/MjAyNTExMDJfMTg0/MDAxNzYyMDU0ODAzMDg5.znDPD8vfpZ1NfTl11UyRNL5HjBqpusRs3UNeZMccoNgg.hS7ZFalhpvIm5KvpPj5ng9CW5mWIRjb6T4DW0rKyppwg.JPEG/6E0FFA98%EF%BC%8DA76B%EF%BC%8D4883%EF%BC%8DA5F5%EF%BC%8DAAB852C06834.jpg?type=w80_blur|||https://postfiles.pstatic.net/MjAyNTExMDJfMTA5/MDAxNzYyMDU0ODAyOTQy.VbEZkSKtTNy-BW2H6ndUKqxr1JT3HdlVMvz9Xz9fg2og.aK5yGTTk0wsNDURk3Myrfsf5TmwDh2UbupeeEoWwYQ8g.JPEG/74AA9A79%EF%BC%8D24DC%EF%BC%8D4608%EF%BC%8D95CF%EF%BC%8D5FDD3694C274.jpg?type=w80_blur|||https://postfiles.pstatic.net/MjAyNTExMDJfNTIg/MDAxNzYyMDU0ODAzMTI0.ezgH00rxXwUgPkR0kyFcuh4GWum3qcT7iUXYgIjaFFog.ykHa860PGQIZIo9CNB42p9FYDHcFR7JgnWwb-HnkOfMg.JPEG/5A867E18%EF%BC%8D7E11%EF%BC%8D433B%EF%BC%8D8EF4%EF%BC%8DE40EB6F1CCB9.jpg?type=w80_blur|||https://postfiles.pstatic.net/MjAyNTExMDJfMTUw/MDAxNzYyMDU0ODAzNDIx.8hf2n_LzzAx-V4mfI8JdVpW5YVPDmvjVmZSyqGT8wRUg.mx4bKTtVZaO1X4oVqJv1EiaGOiaM0vxgM8g_TR-E6KEg.JPEG/7EA51810%EF%BC%8DE88B%EF%BC%8D41C8%EF%BC%8DABF9%EF%BC%8D36F671E019AE.jpg?type=w80_blur|||https://postfiles.pstatic.net/MjAyNTExMDJfMjMg/MDAxNzYyMDU0ODAzMDI2.vxVUt8Icg9y0rk3J-7L7-EirVT8ejs1NdxDKdGgTUWwg.Hg0Q8AOzCaFcSEw9IDqz3M_pBOsTX7L0PPotBDvBA0kg.JPEG/7B05D970%EF%BC%8D6DD3%EF%BC%8D435F%EF%BC%8DAD1C%EF%BC%8D815D5D9A951F.jpg?type=w80_blur|||https://postfiles.pstatic.net/MjAyNTExMDJfMzQg/MDAxNzYyMDU0ODM1OTI2.8DmrDbIdXuRIpHXwoTheixhWX-mR6ZUsTRypF3pqQKwg.t7_RoVfwA7c6MIlpNsZdU69ZKioThN_QgB9CXwDaEmcg.JPEG/33754147%EF%BC%8DE415%EF%BC%8D4976%EF%BC%8D9174%EF%BC%8D3A89183FC27B.jpg?type=w80_blur|||https://postfiles.pstatic.net/MjAyNTExMDJfMjM4/MDAxNzYyMDU0ODQ2NDY0.g1dd8e9wd9geR8cKfwwZO8i0wMfpr67Em-mF2_6INKgg.DtYT51TSzFc-9Zdk1NCmt_LKl7xODaFoBGRlEbhi2Fwg.JPEG/03189DD2%EF%BC%8DE529%EF%BC%8D4C32%EF%BC%8DA2C2%EF%BC%8DE3A20E36209F.jpg?type=w80_blur|||https://postfiles.pstatic.net/MjAyNTExMDJfMjYz/MDAxNzYyMDU0ODQ2NDUy.LdXh9MHXio1QP8gPmhJXOWByoqww5JeL_FOzWRL4izcg.8j_3AS4UGrFKpWsRsYOobb43E6yWNDRdHeTOErLsx2Ig.JPEG/9F3EF337%EF%BC%8DED91%EF%BC%8D4B55%EF%BC%8DB452%EF%BC%8D7C2F0BEE03A3.jpg?type=w80_blur|||https://postfiles.pstatic.net/MjAyNTExMDJfMjk4/MDAxNzYyMDU0ODQ2Mzgw.4dIhLI8NevfmnF7HPHy1L40C_YKfUJB2a0cCpMqMcpYg.vs1utsZV5Y96o0-wSm0aGRQWXLReUOug-7vwXi2TpEQg.JPEG/D532CDFA%EF%BC%8D0166%EF%BC%8D48E9%EF%BC%8DBD71%EF%BC%8DC4771646F7D3.jpg?type=w80_blur|||https://postfiles.pstatic.net/MjAyNTExMDJfMjc0/MDAxNzYyMDU0ODQ2NDU1.pq1zG_W3SL-DG4iFk_Eg0fg7th6YFbFdjHMR4Ff0f3Yg.7TqdaWqnKASJ9E99NWHbOmv1B1fTIOsrkcsF1_3mxWYg.JPEG/08A9812E%EF%BC%8D86D9%EF%BC%8D4757%EF%BC%8DA7FC%EF%BC%8D364925F280F9.jpg?type=w80_blur|||https://postfiles.pstatic.net/MjAyNTExMDJfMTA4/MDAxNzYyMDU0ODQ2NDU5.HXVPqQMf8iwVQoq-Hxs25zxHeZsioL-rhiDsloG08lUg.9Mun8bqrP1RzzR34hpz_lyrM5Zj7ekqxp2oP4NniNQ4g.JPEG/10BDDD47%EF%BC%8D2A80%EF%BC%8D460B%EF%BC%8D8483%EF%BC%8D658FE3C8E918.jpg?type=w80_blur|||https://dthumb-phinf.pstatic.net/?src=%22https%3A%2F%2Fshop-phinf.pstatic.net%2F20230713_230%2F1689245306542fInIy_JPEG%2F3014172_1689245306510.jpg%22&amp;type=ff500_300|||https://dthumb-phinf.pstatic.net/?src=%22http%3A%2F%2Fmk.kakaocdn.net%2Fdn%2Fopenchat%2Fscrap%2Fog%2Fme%2Ftjdgml8175_out.jpg%3F1745812263%22&amp;type=ff500_300</t>
  </si>
  <si>
    <t>독일피엠 글로벌 건강기능식품 7주년 45%프로.. : 네이버블로그</t>
  </si>
  <si>
    <t xml:space="preserve">이건 단순한 할인 이벤트가 아닙니다 정말 대박 찬스입니다 “건강”이라는 가치를 향해 달려온 30년의 역사와 함께 독일피엠코리아가 걸어온 7년의 발자취를 기념하는 감사의 대축제이자 대박찬스입니다... </t>
  </si>
  <si>
    <t>blog.naver.com/qhfkdkssbd</t>
  </si>
  <si>
    <t>https://blog.naver.com/qhfkdkssbd/224061552021</t>
  </si>
  <si>
    <t>qhfkdkssbd</t>
  </si>
  <si>
    <t>안녕하세요 독일피엠 사업자
해강그룹 김보라 입니다 🇩🇪
🌍 독일피엠, 글로벌 건강브랜드의 역사와 7주년 대규모 프로모션 소식! 🌍
드디어 기다리던 독일피엠(PM International)*
7주년 기념 프로모션이 시작되었습니다!
이건 단순한 할인 이벤트가 아닙니다 정말 대박 찬스입니다
“건강”이라는 가치를 향해 달려온 30년의 역사와 함께
독일피엠코리아가 걸어온 7년의 발자취를 기념하는
감사의 대축제이자 대박찬스입니다✨️
🇩🇪 독일피엠의 시작과 성장 스토리
독일피엠은 1993년, 독일에서 랄프 하인츠(Rolf Sorg) 회장님 설립한
유럽 최대 건강기능식품 브랜드로 시작했습니다
"사람들이 건강하고 더 좋은 삶을 살 수 있도록 돕겠다"는 철학 아래
깨끗한 원료, 과학적 배합, 그리고 지속가능한 건강관리 시스템을 구축하며
현재 전 세계 45개국 이상에서 사랑받고 있습니다💖
특히 독일피엠은 단순한 ‘영양보충제 회사’가 아니라
건강한 라이프스타일을 제안하는 글로벌 웰니스 브랜드로 성장했어요💖
그리고 2018년, 한국에 정식 론칭하면서
**‘독일피엠코리아’**의 새로운 역사가 시작되었습니다
이제는 많은 분들이 “한 번 먹어보면 멈출 수 없는 이유가 있다”고 말할 만큼
믿음과 만족도로 성장해온 브랜드입니다💖
7주년 이벤트
11월 1일 부터 시작된.
대박 찬스
💥 지금은 바로, 독일피엠 7주년 프로모션 기간이랍니다!!
11월 1일부터 시작된 이번 프로모션은
그동안의 사랑에 보답하기 위한 특별한 45% 할인 이벤트!
금액으로 따지면 30만 원 이상의 혜택이 돌아가는 초대형 프로모션이에요✨️
파워칵테일 + 리스토레이트
독일피엠의 대표 제품이 모두 포함된 구성으로
놓치면 진짜 아까운 혜택입니다.
각 제품의 특징 알려드릴게요
🌞 파워칵테일 – 하루의 시작을 깨우는 에너지 루틴
아침에 몸이 무겁고 집중이 안 된다면,
이제 커피 대신 파워칵테일 한 잔!
파워칵테일은 아침에 필요한 활력을 자연스럽게 깨워주는
하루의 첫 루틴이에요.
몸이 가볍게 깨어나는 느낌과 함께,
오전 내내 유지되는 상쾌한 집중력을 느낄 수 있습니다.
많은 분들이 "아침이 달라졌다"고 느낄 만큼
하루의 텐션을 높여주는 마법 같은 한 잔!
바쁜 현대인에게 꼭 필요한 루틴이에요.
🌙 리스토레이트 – 밤의 회복 루틴, 피로를 녹이는 한 잔
하루를 마무리하며
지친 몸과 마음을 부드럽게 회복시켜주는 저녁 루틴, 리스토레이트.
바쁜 하루를 보내고 나면
몸이 무겁고 피곤이 쌓이기 마련이죠.
리스토레이트는 그 피로를 내려놓게 도와주는 ‘밤의 힐링 드링크’.
하루종일 긴장되어 있던 몸이 풀리면서
편안한 휴식과 안정감을 느낄 수 있습니다.
아침엔 파워칵테일, 저녁엔 리스토레이트
이 루틴만 잘 지켜도 하루 컨디션이 완전히 달라집니다. 🌙
⚡ 액티바이즈 – 움직이는 순간, 에너지를 채우는 동력!
활동량이 많거나 집중이 필요한 순간,
피로감이 확 밀려올 때 액티바이즈가 제 역할을 해요.
한 모금만으로도 즉각적으로 에너지와 집중력이 살아나는 느낌!
공부, 운동, 장거리 운전, 미팅이 많은 직장인들에게
단연 인기 있는 제품이에요.
“피곤할 틈이 없다!”는 후기가 괜히 나오는 게 아니에요.
몸이 필요한 순간마다 자연스럽게 에너지를 불어넣어주는
진짜 ‘활력 충전기’ 같은 존재.
🎉 놓치면 정말 손해! 지금이 바로 그 기회!
✅ 독일피엠 7주년 한정 프로모션
✅ 2세트 진행 시 45% 할인
✅ 총 혜택 금액 30만 원 이상
✅ 대표 2종(파워칵테일, 리스토레이트) 포함
✅ 11월 1일부터 한정 진행
⭐️액티바이즈 별도 구매
건강은 타이밍이에요.
그리고 지금이 바로 그 타이밍.
이번 7주년 프로모션은 단순히 제품을 사는 게 아니라
하루 컨디션과 건강 루틴을 바꾸는 시작이 될 거예요💖
놓치면 후회할 대박 기회!
이번엔 절대 놓치지 마세요 💥</t>
  </si>
  <si>
    <t>https://postfiles.pstatic.net/MjAyNTExMDJfOTIg/MDAxNzYyMDEyOTE3OTM2.AZcRBDUDM0mwjByvxfP38MHZ_g-H2hy7QT4Rv46ZK-Ig.vQ2rZaTWNUaL8DwgvZ855R3uGDyWYPHSIYSlr_hpFkcg.JPEG/900%EF%BC%BF1762012362881.jpg?type=w80_blur|||https://postfiles.pstatic.net/MjAyNTExMDJfMTM1/MDAxNzYyMDEyOTE3OTQz.4dvBfDom11QDxIbyYwAVktcOWO1wNshhEQisOinITZog.qRt4aWTrowp4TWADwUDdPWNIh10mKCvrrX1ZFnNSGCEg.JPEG/900%EF%BC%BF1762012415275.jpg?type=w80_blur|||https://postfiles.pstatic.net/MjAyNTExMDJfMTA1/MDAxNzYyMDEyOTE2NzUx.OaTWcTTZVUJIZjh1rzikGroVrjc19G-ZXicQRjdd22Ag.BcMctq4mCBcXbeTUmI2eh1_I7WO0BIAOgyaBYCn0KMgg.JPEG/900%EF%BC%BF1762012796340.jpg?type=w80_blur|||https://postfiles.pstatic.net/MjAyNTExMDJfNjQg/MDAxNzYyMDEyOTE3MzIx.yqBb8Aoej_vnJQFciqPlSTWfWmKC_csZ9BYSDJSQ0ccg.BuIv5gSlMOqFiAx0IDnb5cHAZGYWSN6GzGSamNQG6Ugg.JPEG/1762012832875.jpg?type=w80_blur|||https://postfiles.pstatic.net/MjAyNTExMDJfNDQg/MDAxNzYyMDEyOTE3MDI3.MDQpJlY6h29kYl0T71or0VRdnLqzrqaNh_qpYAHKIdcg.XxLCBy9AHmK_dXQxQ1P6ABY7ua3Vlu4Gt5HoSRjnU3wg.JPEG/900%EF%BC%BF1762012911695.jpg?type=w80_blur|||https://postfiles.pstatic.net/MjAyNTExMDJfMTg4/MDAxNzYyMDEyOTE4Mzc2.n6dVW8nlil2wQkz85EKCqPaZCzcGbQKkx5JDhogr1RQg.6efMlRAh33vqi4Ux_lGWYm9F6HbHBXEYqoTxRZUdPjkg.JPEG/900%EF%BC%BF1762012539467.jpg?type=w80_blur|||https://postfiles.pstatic.net/MjAyNTExMDJfMTgx/MDAxNzYyMDEyOTE2OTIy.MB4hWxQ6z1f139OcCvYj6h2D2B2eLkwREWRNvigz64gg.dYkpv7MYG8uSm1_8w4YHS3DbZ8dZcGoym7H8Ztn47HIg.JPEG/900%EF%BC%BF1762012603781.jpg?type=w80_blur|||https://postfiles.pstatic.net/MjAyNTExMDJfMjAx/MDAxNzYyMDEyOTE2Njgx.StVKNnIzXS6zrs2iVXMkeUYN8nHx6bUYTUBiAkRjcEIg.vTOuz97Gp-uBb0MpTZrS5A1qa6YDGHZKkACLVEcqjfog.JPEG/1762012661580.jpg?type=w80_blur</t>
  </si>
  <si>
    <t>독일피엠 45%액션팩 구매시 파워칵테일 리스토.. : 네이버블로그</t>
  </si>
  <si>
    <t xml:space="preserve">이번에는 그냥 할인 아니고요 독일피엠코리아 7주년 기념 특별 이벤트 시작입니다 놓치면 두고두고 아쉬울 만큼 혜택이 커요  이번에는 진짜 대박 구성입니다  [액션팩 구성 안내] ✔ 파워칵테일 5박스... </t>
  </si>
  <si>
    <t>https://blog.naver.com/qhfkdkssbd/224061496631</t>
  </si>
  <si>
    <t>안녕하세요 독일피엠 사업자 해강그룹 김보라입니다 🇩🇪🇩🇪
💥 독일피엠 7주년 기념! 45% 대박 할인 소식 💥
드디어 기다리던 11월 액션팩이 시작됐어요!
이번에는 그냥 할인 아니고요
독일피엠코리아 7주년 기념 특별 이벤트 시작입니다💖
놓치면 두고두고 아쉬울 만큼 혜택이 커요 😍
이번에는 진짜 대박 구성입니다
🎁 [액션팩 구성 안내]
✔ 파워칵테일 5박스 + 리스토레이트 5박스
👉 1세트당 (5개월치)
여기서 끝이 아닙니다
이번에 2세트 진행 시
파워칵테일 2박스
리스토레이트 2박스
추가 증정!!!🎁🎁🎁🎁
이런 조건은 정말 한번도 없었던 기회예요.
🍀 [파워칵테일 특징]
하루를 활기차게 시작하고 싶은 분들께 딱!
아침 한 잔으로 몸이 가볍게 깨어나는 느낌입니다
많은 분들이 “이게 진짜 하루 컨디션을 바꿔준다”고 느끼는 이유가 있어요^^
바쁜 아침, 커피 대신 파워칵테일 한 잔이면 에너지 충전 완료 ⚡
먹어보면 다름을 확실히 느껴요
🌙 [리스토레이트 특징]
하루의 마무리를 부드럽게, 깊게 쉴 수 있도록 도와주는 저녁 루틴 제품입니다
하루종일 쌓인 피로감이 스르르 내려앉는 기분💖
아침보다 저녁이 더 기다려지는 이유가 바로 이 한 잔🌛
🧡 [이벤트 프로모션 정리]
✅ 독일피엠 7주년 기념 한정 프로모션
✅ 액션팩 45% 할인
✅ 파워칵테일 + 리스토레이트 2박스 증정(액션팩 2세트 진행시)
✅ 11월 1일부터 선착순 진행
🎉 이번 기회, 정말 놓치면 손해예요.
매번 “그때 살걸…” 후회하는 분들 꼭 계시잖아요 😅
이번엔 진짜로!
놓치면 아까운 7주년 대박찬스
딱 이 타이밍에 잡으세요🙏
👉 문의 폭주 중이라 수량 조기 마감될 수 있어요!
빠르게 확인해보세요 💨</t>
  </si>
  <si>
    <t>https://postfiles.pstatic.net/MjAyNTExMDFfODUg/MDAxNzYyMDA4Mjg5NzI2.v5Aah1HmhGLeDCK2T1dFFUC0a_Ie1WfAcG2_5Wa-DoIg.gjqhJQRDuz23Mx6ihjAoPJCjvniEhpm67-4lQavxcacg.JPEG/900%EF%BC%BFScreenshot%EF%BC%BF20251031%EF%BC%BF225838%EF%BC%BFGallery.jpg?type=w80_blur|||https://postfiles.pstatic.net/MjAyNTExMDFfMzMg/MDAxNzYyMDA4Mjg5ODE5.SY9hNvIReExEK8yCXY2V-07h8wf_rsV9Oq-XW80HfB8g.Nvo68ypdFBrurGxvFFuKuIzCh3_Y1Mgkj0BrYuhe-58g.JPEG/900%EF%BC%BF1762008139109.jpg?type=w80_blur|||https://postfiles.pstatic.net/MjAyNTExMDFfNjYg/MDAxNzYyMDA4Mjg5ODQy.ovt_N1Y1gZGj7C29eEbqVPuBU2HA03vfm2HzBHa0kPsg.HKF8JKJI88Oa_G7Khw4B74HR6RP4FY_xl1KUzuv3fvsg.JPEG/900%EF%BC%BF1762008139250.jpg?type=w80_blur|||https://postfiles.pstatic.net/MjAyNTExMDFfMTcw/MDAxNzYyMDA4Mjg5NDYy.Ex4lJstUaT0aksDp6etntYYb9pZZqhWzqb3uvk3cpWEg.v1ot_Z9fg8yesxVGzkhA_ZQtqx6LqtLBwefnxBiv1yog.JPEG/1761917955716.jpg?type=w80_blur</t>
  </si>
  <si>
    <t>피엠코리아 7주년 역대급 피트라인 액션팩 프로.. : 네이버블로그</t>
  </si>
  <si>
    <t xml:space="preserve">안녕하세요~아시아 1위 조이그룹, 건강을 전달하는 다이어트코치 속초pm입니다. 오늘은 11월에 특급 액션팩 프로모션 안내를 해드리겠습니다!!!! “11월, 다시 없을 혜택  PM코리아 7주년 액션팩... </t>
  </si>
  <si>
    <t>https://blog.naver.com/mchanna/224061457232</t>
  </si>
  <si>
    <t>안녕하세요~아시아 1위 조이그룹,
건강을 전달하는 다이어트코치 속초pm입니다.
오늘은 11월에 특급 액션팩 프로모션 안내를 해드리겠습니다!!!!
“11월, 다시 없을 혜택 💥
PM코리아 7주년 액션팩 최저가 행사!
2세트 구매 시 2개월치 추가 증정🎁”
추천인21122717조한라
---
💎 PM코리아 7주년,
단 한 번의 초특가 액션팩 프로모션!
🎉 11월 단 한 달, 다시 없을 기회!
11월 1일부터 11월 30일까지 진행되는 PM코리아 7주년 액션팩 프로모션은
올해 단 한 번, 가장 큰 혜택으로 진행되는 특별 행사입니다.
이번 행사에서는 액션팩 2세트 구매 시, 2개월 분 제품을 추가 증정 받아
총 12개월 분량을 훨씬 합리적인 가격에 만나볼 수 있습니다.
---
💪 PM 액션팩 구성: 하루 에너지를 완성하는 콤보
파워칵테일(Power Cocktail) :
아침 활력을 채워주는 비타민·미네랄·식이섬유 밸런스 영양음료
리스토레이트(Restorate) :
하루 끝, 피로회복과 미네랄 보충을 돕는 저녁 필수 영양음료
이 두 제품이 결합된 ‘액션팩’은
균형 잡힌 영양보충 + 활력 회복 + 숙면 지원을 한번에 챙길 수 있는
PM의 대표 베스트셀러 세트입니다.
추천인21122717조한라
---
📉 가격 비교: 지금이 진짜
💰 최저가인 이유!
구매 방식 1개월분 기준 가격 비고
일반 소비자 198,375원 기본가
오토십 가입 137,100원 정기구독가
BA 스페셜 119,040원 파트너가
7주년 행사 회원가 91,000원 🔥 역대 최저가
액션팩(5월·11월 한정) 109,120원 🎯 행사 특별가
추천인21122717조한라
👉 액션팩 2세트(12개월분) 기준
정상가 1,091,200원 → 7주년 특가 + 2개월 증정
실질가치는 약 1,300,000원 이상 상당!
추천인21122717조한라
---
💡 💳결제 혜택 &amp; 구매 조건
카드 무이자 3~6개월 적용 가능
인당 최대 5세트 구매 가능
팀파트너 정기구독 시 자동 혜택 반영
---
🌿 전문가 시선에서 본 PM 액션팩의 가치
PM코리아의 제품은 독일 본사 FitLine® 기술로 개발되어,
NTC®(Nutrient Transport Concept) 기술이 적용되어 있습니다.
이는 단순한 영양보충을 넘어,
영양소가 필요한 곳까지 정확히 전달되어
체내 활성도와 회복력을 높이는 과학적 시스템으로 인정받고 있습니다.
---
📦 이렇게만 구매해도 혜택이 두 배!
&gt; ✅ 액션팩 2세트 구매 → 2개월치 추가 증정
✅ 정기구독 시 추가 할인
✅ 7주년 한정가로 구매 가능
💬 “건강은 챙기고, 가격 부담은 낮추는”
지금이 1년 중 가장 현명한 선택 시점입니다.
---
✔️ 11월 30일까지 단 30일 한정
✔️ 품절 시 조기 종료 가능
궁굼하신 사항은 톡톡주세요.
#추천인21122717조한라#속초피엠
#양양피엠#고성피엠#pm.hanla
#조이그룹#조이핏
#PM코리아 #7주년프로모션 #액션팩 #파워칵테일 #리스토레이트 #최저가행사
#건강보조식품 #독일PM #에너지회복 #11월이벤트
궁금할 땐 네이버 톡톡하세요!
https://m.blog.naver.com/mchanna/224054216206
독일 피엠- 가입절차 완벽정리 | 우대회원 &amp; 팀파트너 안내
🌍 독일 피엠- 회원가입 절차 &amp; 회사 소개 총정리 --- 💡 독일 pm 이란? 추천인21122717조한라 P...
m.blog.naver.com</t>
  </si>
  <si>
    <t>#추천인21122717조한라, #속초피엠, #양양피엠, #고성피엠, #pm, #조이그룹, #조이핏, #PM코리아, #7주년프로모션, #액션팩, #파워칵테일, #리스토레이트, #최저가행사, #건강보조식품, #독일PM, #에너지회복, #11월이벤트</t>
  </si>
  <si>
    <t>https://postfiles.pstatic.net/MjAyNTExMDFfMjEy/MDAxNzYyMDA1MjMwMzc4.kbWaxhZYRDcr6lN63ZdBB2xdiupeFgfrep7WznFfwEYg.2ikC-ZvlgZ-3CwAQkafAjeLShm8X_r6jcotrnP8GLykg.JPEG/900%EF%BC%BFScreenshot%EF%BC%BF20251101%EF%BC%BF112659%EF%BC%BFInstagram.jpg?type=w80_blur|||https://postfiles.pstatic.net/MjAyNTExMDFfMTA4/MDAxNzYyMDA1MjMwMzkw.LddM6L5qcQIcImhzEr2x3blRLYoOlc-XjgGPY0Kn9Dsg.mYls8z9AkSwPkzzPQeHivqkHtAQt0D7dcwalC3ZKfmEg.JPEG/900%EF%BC%BFScreenshot%EF%BC%BF20251101%EF%BC%BF223007%EF%BC%BFNAVER.jpg?type=w80_blur|||https://postfiles.pstatic.net/MjAyNTExMDFfMTEg/MDAxNzYyMDA1MjMwMjY0.3WK7zC54CCAKsyGnmByOKx8VhhRlhPtjliQxiDWuDD8g.IKvVnrIfzj2hk0uKSgqKYvcjUyv1gOZ9Qg4KFOa2i6Qg.JPEG/900%EF%BC%BFScreenshot%EF%BC%BF20251101%EF%BC%BF222949%EF%BC%BFNAVER.jpg?type=w80_blur|||https://postfiles.pstatic.net/MjAyNTExMDFfNTcg/MDAxNzYyMDA1MjMwMjY3.3KfYAcY5d1HiF-nN4uINkY5wuWiF-hU0KEPnFgLiOpMg.jOQ_1xHvnRTrC96eY7Yxt32VetqSPrJivK5M5E9_1tgg.JPEG/900%EF%BC%BF1762004122855.jpg?type=w80_blur|||https://dthumb-phinf.pstatic.net/?src=%22https%3A%2F%2Fblogthumb.pstatic.net%2FMjAyNTEwMjRfMjA1%2FMDAxNzYxMjkyNDA3MzYz.RK3p5O6k1KEXVmyYgASnVArVeQ_1qD0C6dM-vB2ZP9Eg.qPjTyOS0LN5PVQWu3lqUAjt3h0hmqN4JIeaTqtIO46Eg.JPEG%2F900%25A3%25DFScreenshot%25A3%25DF20251024%25A3%25DF034959%25A3%25DFInstagram%25A3%25A81%25A3%25A9.jpg%3Ftype%3Dw2%22&amp;type=ff500_300</t>
  </si>
  <si>
    <t>총정리</t>
  </si>
  <si>
    <t>독일피엠 사업자 달성하는 방법[7주년 액션팩 .. : 네이버블로그</t>
  </si>
  <si>
    <t xml:space="preserve">사실 독일피엠 코리아 안에 수많은 그룹들이 있습니다. 소수의 그룹 말고는 좋은문화를 가진 그룹은 많습니다. 하지만 거기에 내가 낄수있는 느낌인지, 내가 온전히 도움을 받을 수 있는 곳인지, 나의 장점을... </t>
  </si>
  <si>
    <t>blog.naver.com/nageumyageum</t>
  </si>
  <si>
    <t>https://blog.naver.com/nageumyageum/224061349199</t>
  </si>
  <si>
    <t>nageumyageum</t>
  </si>
  <si>
    <t>안녕하세요 독일피엠 사업가 이나금 입니다.
오늘은, 25년 11월에 처음이자 마지막으로 진행 되는 최저가 이벤트가 있어서
소개 해드리기 전 독일피엠 비지니스 사업을 알아보실때
전달 드리고 싶은 메세지를 적어보려 합니다 ^^.
저는 N사를포함하여, 네트워크마케팅 사업을 한지 어느덧 10년 가까이 되었습니다.
N사 시절에 수 많은 경험들을 하고 그 경험을 밑바탕 삼아
피엠을 선택 했을때 N사 시절때보다 더 많은 결과들을 누리고 있는건 사실입니다.
네트워크마케팅 사업을 시작 하실때 반드시 검토 하셔야 하는 부분을 알려 드리려고 합니다.
1.회사가 안전한지를 먼저 확인하세요.
그 이유는 나의 미래의 삶을 이루기 위해 선택 한 만큼
회사가 재정적으로 안전한 기업인지를 확인 하셔야 합니다.
보통 많은 분들이 지인을 통해서, 누군가에게 추천을 받아서
또는 제품력에 매력을 느껴서 당장 시작 하시는 경우가 있지요.
그게 나쁘다는 것은 아니지만, 기본적으로 회사의 안정성도 꼭 확인을 하셔야 합니다.
제품에만 매력을 느껴서 시작했다가 회사가 사라지면
나의 노력들이 무용지물이 되는 것이니까요.
그래서 저 또한 독일피엠은 상세히 살펴 보게 되었고
부채1도 없는 회사, 지속적으로 성장 하는 안전한 회사
이미 30년이 넘은 역사를 가지고 있는 회사 임을 확인 하고 선택을 하였습니다.
2.보상체계가 나한테만 좋은게 아니라 다같이 돈을 벌 수 있는 구조인지를 확인하세요.
보통 한국 직접판매 회사에서는 피엠이 들어오기전에
미국회사 와 한국회사 밖에 없었습니다. 그래서 보상 구조 또한,
바이너리(두줄) 와 브레이크 어웨이(레벨제한) 방식이 대다수 였습니다.
그래서 우물한 개구리 처럼 한 회사만 봐라 보시게 되면
보상이 얼마나 다른지를 잘 모르시는 경우가 많은데요
저도 타 회사들을 완벽히 다 아는 것은 아니지만 어떤식으로 이루어져 있는지는 알고 있었고
그 상태에서 피엠 보상 알아 보았을때 이건 반드시 해야 겠다.
나도 돈을 벌고 나의 파트너들도 함께 돈을 벌 수 있는 윈윈 구조라는 것은
분명하게 확인 할 수 있었으며, 무엇보다 옆으로 무한, 아래로도 무한인게 마음에 들었습니다.
(자세한 보상체계를 미팅으로 신청 해주시면 알려 드리겠습니다 ^^)
또한, 네트워크 회사들은 사업 기회전달 과 함께 유통이 이루어져야
안정적인 자산 소득이 갖추어 지는 형태 입니다.
판매 와 시스템이 함께 운영이 되어야 한다는 거죠.
무조건 판매만 잘한다고 해서 잘되는 사업도 아닙니다.(이건 다시 다루겠습니다)
매월 안정적이게 매출이 일어나야 그게 곧 가만히 있어도 들어 오는 자산 형태를 가지게 되는 건데요.
독일피엠은 3개월 정기구독 시스템으로 안정적이게 자산이 쌓아지게 되는 시스템입니다.
제가 N사 뉴스킨 사업을 경험했다보니 이쪽으로 예시를 들수 밖에 없네요 ㅠ
예를 들어 정기구독을 신청하게 되면, N사같은 경우 금액이 일정하지가 않은채 들쑥 날쑥 합니다.
또한 소비자들이 정기구독을 신청 하는 것보다 매달 한달식 구매하는 것에 익숙 하고요.
프로모션이 열리면 정기구독을 취소 하는 경우도 많아지며, 정기구독을 신청 하는건 선택형 입니다.
하지만 피엠 같은 경우 최저가 할인의 시작 과 구매의 시작
소개비 지급이 되는 첫 시작이 정기구독 이기에 소비자 들 뿐만 아니라 사업자들도
누구가 바로 쉽게 신청 할 수 있게 되는 과정이 있으며,
매달 똑같은 금액으로 결제가 이루어 지니 포인트 계산과 예측이 쉽고 파악이 가능하며
정기구독 숫자가 나의 것을 포함하여 내가 모르는 사람들꺼까지 합산되어 계산되어 들어 오는 시스템 입니다.
그래서 사업자들이 매달 힘겹게 사업을 진행 하지 않아도 되는 장점도 있으며
소비자 분들은 한명에게만 소개를 하셔도 소개비를 받아 갈 수 있습니다.
(독일피엠 보상은 다른 게시글로 제가 다루도록 하겠습니다 ^^ 또는 유투브에서 독일피엠이나금 검색하시어
저의 강의 영상을 보시면 또 확인하실 수 있습니다.)
보상체계가 무리가 없는지 너무 제한은 있지 않은지를 꼭 검토 하셔야 하며
그런 부분에서도 저는 독일피엠 보상이 너무나 매력적이였습니다.
3. 그룹과 스폰서 선택하기
보통은 지인을 통해서 사업을 시작 하니 지인과 스폰서와 파트너인 관계가 평균적입니다.
또한 요즘은 플랫폼을 통해서 직접 문의 하시어 스폰서와 파트너가 되는 경우도 있고
또는 소개받아서 이루어 지는 경우도 있지요.
어느 경로든 상관 없습니다만, 내가 앞으로 추구하는 바가 같은지
내가 원하는 삶을 이루기 위해 함께 팀워크로 이루며 나아 갈수 있는,
즉 소통이 원활하게 이루어질 수 있는 사람과 함께 하셔야 합니다.
그리고 쉽게 그만 두질 않은 사람과 함께 해야 합니다 ^^.
그룹은 선택 하실때는 결*을 보셨으면 합니다.
사실 독일피엠 코리아 안에 수많은 그룹들이 있습니다.
소수의 그룹 말고는 좋은문화를 가진 그룹은 많습니다.
하지만 거기에 내가 낄수있는 느낌인지, 내가 온전히 도움을 받을 수 있는 곳인지,
나의 장점을 발휘 할 수있는 문화 인지, 나와 함께 할 사람들과 가도 부끄럽지 않은 곳인지 등
나와 결*이 맞는 그룹을 선택 하시면 됩니다. 그리고 체계적인 시스템이 있는 곳인지도 꼭 확인하시구요.
(강의와 별개로 신규 사업자들이 배우고 적응 할 수 있는 프로그램)
저는 해강그룹에 속해 있습니다 ^^.(제가 해강그룹을 선택한 이유도 다른 글로 다루도록 하겠습니다)
잠깐만 말씀 드리자면 20대~70대분들까지 다양하게 담아 낼 수 있는 문화를 가진 그룹이
해강그룹 유일 했기에 선택 했습니다.
4.제품력 확인 !
사실 피엠 제품력은 이미 입소문으로 증명이 되어 있는거 같습니다.
액티바이즈 한잔만으로도 효과를 느끼고, 그 자리에서 싸인업 가능성이 99% 입니다.
그럴 수 있는 이유는 피엠만 가지고 있는 기술력 과 특허 덕분인데요.
특히나 많은 분들이 매달 지속적으로 찾는게 건강식품이고,
심지어 피엠은 온가족이 드시는 경우가 너무나 많습니다. 이러한 부분들을 살펴 보고
피엠이라는 아이템을 독보적일 수 밖에 없다라는걸 확인 할 수 있습니다.
자세한 독일피엠 사업 검토는 저에게 미팅 요청 해주세요 ^^
직접 만나 뵙고 자세히 알려 드리겠습니다.
현재 25년 11월에만 주어지는 완전 최최최저가 할인 구성으로
독일피엠 사업 검토 하시고 평생 유통권 획득 하시길 바랍니다.
피엠 사업 시작은 11월이 기회 입니다 !
독일PM 글로벌 유통권 신청
네이버 폼 설문에 바로 참여해 보세요.
naver.me</t>
  </si>
  <si>
    <t>https://dthumb-phinf.pstatic.net/?src=%22https%3A%2F%2Fsurvey.pstatic.net%2Fnform%2Fimage%2Flogo_og.png%22&amp;type=ff120|||https://postfiles.pstatic.net/MjAyNTExMDFfNTMg/MDAxNzYxOTk0NDk1NjAz.enlL2dFS58ZyjS36gYoqWETFwh9vWXOGdkEQLr9wGFgg.Y0DJ1F1xdsA4RHWET-C60MXqJzI-J_UMO8VLJOKT-Xcg.PNG/%EC%A3%BC%ED%99%A9%EC%83%89_%EB%85%B8%EB%9E%80%EC%83%89_%EC%88%98%EC%B1%84%ED%99%94_%ED%95%A0%EC%9D%B8_%EA%B0%90%EC%82%AC_%EC%9D%B4%EB%B2%A4%ED%8A%B8_%EB%AA%A9%EB%A1%9D_%ED%8F%AC%EC%8A%A4%ED%84%B0.png?type=w80_blur</t>
  </si>
  <si>
    <t>해드리기</t>
  </si>
  <si>
    <t>PM인터내셔널코리아 7주년 기념 액션팩 프로모.. : 네이버블로그</t>
  </si>
  <si>
    <t xml:space="preserve">이번 11월은 특히 피엠인터내셔널코리아 7주년을 맞이해 그 어느 때보다 푸짐한 혜택이 준비되어 있어요. Wow!  액션팩 프로모션이란? FitLine의 대표 제품인 파워칵테일과 리스토레이트를 가장... </t>
  </si>
  <si>
    <t>https://blog.naver.com/acacia0301/224061340704</t>
  </si>
  <si>
    <t>PM인터내셔널코리아 7주년 기념
2025년 11월 액션팩 프로모션 초대박 독일피엠이벤트 🎉
매년 5월과 11월, 1년에 단 두 번 진행되는 ‘액션팩 프로모션’이 돌아왔습니다!
이번 11월은 특히 피엠인터내셔널코리아 7주년을 맞이해
그 어느 때보다 푸짐한 혜택이 준비되어 있어요. Wow!
🌟 액션팩 프로모션이란?
FitLine의 대표 제품인 파워칵테일과 리스토레이트를
가장 합리적인 가격에 구입할 수 있는 초특가 이벤트입니다.
건강을 챙기면서 가족 모두가 함께 즐길 수 있는
가장 실속 있는 구성으로 준비되었어요.
🗓 프로모션 기간
2025년 11월 1일(토) 오전 11시 ~ 11월 30일(일) 밤 11시 59분
(※ 준비된 수량에 따라 조기 종료될 수 있습니다.)
🎯 프로모션 대상
오토십(ABO) 구독 중인 팀파트너
🛒 주문 방법
홈페이지 내 ‘프로모션 창’을 통해 주문 가능
💥 액션팩 구성
FitLine 파워칵테일 5개 + FitLine 리스토레이트 5개
팀파트너가: 545,600원
PV: 500
(1인 최대 10세트까지 구매 가능)
소비기한: 2026년 5월 제품부터 출고
🎁 7주년 스페셜 혜택
동일 주문번호 기준으로 액션팩 2세트 주문 시,
FitLine 파워칵테일 2개 + 리스토레이트 2개를 무료 증정!
예를 들어,
액션팩 2세트 주문 → 파워칵테일 2개 + 리스토레이트 2개 증정
액션팩 4세트 주문 → 파워칵테일 4개 + 리스토레이트 4개 증정
액션팩 10세트 주문 → 파워칵테일 10개 + 리스토레이트 10개 증정
이보다 더 알찬 구성은 없습니다🔥
🍊 이런 분들에게 딱 좋아요!
가족이 함께 독일피엠 제품을 즐기며 항상 제품이 부족했던 분
꾸준히 마시고 싶은데 조금이라도 합리적인 가격에 사고 싶던 분
주변에 나누고 선물할 여유분이 필요했던 분
11월 한 달간 진행되는 이 초대박 7주년 독일피엠 이벤트는
매년 기다리던 PM 회원분들에게 최고의 기회가 될 거예요✨
💌 액션팩 주문 원하신다면?
지금 바로 아래 채널로 문의 주세요👇
재고 소진 전, 서두르셔야 해요!
액션팩 주문하러 GoGoGo! 🚀
제품구매/사업문의는❓
⏬카톡⏬ 또는 ⏬카카오채널⏬로!
피엠리아의 독일피엠인터내셔널
독일 건강기능식품 피엠 인터내셔널의 회원가입/제품구매/사업문의 주세요. 한국 호주 PM
pf.kakao.com
#피엠인터내셔널 #FitLine #독일PM쥬스 #액션팩프로모션 #11월이벤트 #피엠세일 #파워칵테일 #리스토레이트 #PM사업 #건강기능식품 #피엠리아 #피엠7주년 #피엠이벤트 #피엠제품할인 #PMActionPack #건강습관 #FitLinePowerCocktail</t>
  </si>
  <si>
    <t>#피엠인터내셔널, #FitLine, #독일PM쥬스, #액션팩프로모션, #11월이벤트, #피엠세일, #파워칵테일, #리스토레이트, #PM사업, #건강기능식품, #피엠리아, #피엠7주년, #피엠이벤트, #피엠제품할인, #PMActionPack, #건강습관, #FitLinePowerCocktail</t>
  </si>
  <si>
    <t>https://postfiles.pstatic.net/MjAyNTExMDFfOSAg/MDAxNzYxOTk1NTgzNjI3.VxPtBW6KgaQPlEi5DK0UZWt3s6iQDQAld-QOAunO4ugg.qe__LRoStgXzIRNsLvHGIyrzIB8rXXFoOe00hEdzAXsg.PNG/Pm%EC%9D%B8%ED%84%B0%EB%82%B4%EC%85%94%EB%84%907%EC%A3%BC%EB%85%84%EA%B8%B0%EB%85%90%EC%95%A1%EC%85%98%ED%8C%A9%EC%9D%B4%EB%B2%A4%ED%8A%B8%ED%94%84%EB%A1%9C%EB%AA%A8%EC%85%98.png?type=w773|||https://postfiles.pstatic.net/MjAyNTExMDFfMjkg/MDAxNzYxOTk1ODYwNDEx.-V5yEnGu8kc-owGyG8RbY5yGma9aLmL71gzf3qVMb6Qg.vE3m_Vy6JUNtwo_QM_3C8kbIgu307yD-HzK2IBz-Fd8g.JPEG/Screenshot_20251101_220102_Chrome.jpg?type=w80_blur|||https://storep-phinf.pstatic.net/motion3d_02/original_20.gif?type=pa50_50|||https://postfiles.pstatic.net/MjAyNTExMDFfNjQg/MDAxNzYxOTk1ODc2MjQz.9DibtOQ5TsEOeAR49nRqfEkI21qX3kRtuNL7ZbOHGSIg.LVMjGJ0QGVKjlOYW3GA9jjsQ8oom6ovmZSbSzrMghf8g.JPEG/Screenshot_20251101_220110_Chrome.jpg?type=w80_blur|||https://postfiles.pstatic.net/MjAyNTExMDFfMjIx/MDAxNzYxOTk1NDM1NzUz.5hO85jD48OKIXEdV0tMW5rgfK7VSWWJsabaFb0U3eXog.Gu6UAK7Ijnz01mvtE336eq9b1YMJbhkW1ts3GPy9078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ExMDFfMTg4/MDAxNzYxOTk1NDM2MTE0.IYqMudSo6xUAhUs4e1hGAl8EVwF-6u91s7pq8vEFMwIg.hecxsSj0f5ISnnx_LP2F22I2JwVFw1KJvwq9G2Z7NbMg.JPEG/%EC%B6%94%EC%B2%9C%EC%9D%B8_%EC%95%84%EC%9D%B4%EB%94%94_40308133.jpg?type=w80_blur</t>
  </si>
  <si>
    <t>하와이 호놀룰루 동물원 홀푸드마켓 푸드코트 : 네이버 블로그</t>
  </si>
  <si>
    <t xml:space="preserve">안녕하세요독일피엠쎄나언니입니다❤️ 오늘은 하와이 호놀룰루동물원 그리고 홀푸드마켓에서 장보기! 포스팅을 시작합니다 벌써 하와이에 온지도 3일차네요 3일차 하와이 와이키키해변은 그림같았고 너무나... </t>
  </si>
  <si>
    <t>blog.naver.com/rlatpsk46</t>
  </si>
  <si>
    <t>https://blog.naver.com/rlatpsk46/224059211097</t>
  </si>
  <si>
    <t>rlatpsk46</t>
  </si>
  <si>
    <t>안녕하세요😊독일피엠쎄나언니입니다❤️
오늘은 하와이 호놀룰루동물원 그리고
홀푸드마켓에서 장보기!
포스팅을 시작합니다😊
벌써 하와이에 온지도
3일차네요😊
호놀룰루 동물원
151 Kapahulu Ave, Honolulu, HI 96815 미국
3일차 하와이 와이키키해변은
그림같았고 너무나 예뻤다💙
아침부터 러닝운동 그리고
여유롭게 하루를 시작하시는
사람들
와이키키해변에서
호놀룰루동물원은
도보20분?! 정도걸립니다😍
드디어 호놀룰루동물원도착!
11시 오픈이어서 줄서서 기다리기😍
오늘도 우리언니와 행복한 시간🥰
호놀룰루동물원은 동물도 많지만
사진찍을 장소가 정말 많고
나무가 너무 예뻐요💚
하와이 호놀룰루 동물원 홀푸드마켓 푸드코트 (1)
재생
0
좋아요
0
00:08
접기/펴기
하와이 호놀룰루 동물원 홀푸드마켓 푸드코트 (1)
내가왔다~~~💚
푸르른 잔디밭에 그냥 신난 저 ㅋㅋㅋ
하와이 호놀룰루 동물원 홀푸드마켓 푸드코트 (2)
재생
0
좋아요
0
00:09
접기/펴기
하와이 호놀룰루 동물원 홀푸드마켓 푸드코트 (2)
내가좋아하는
코끼리😊
가까이에서 실물영접!!
시원한 물 한잔마시며
잠시 쉬기
호놀룰루동물원은
중간쯤에 카페와 간단히
드실 수 있는 푸드코트가 있습니다
호놀룰루동물원에서 예쁜 사진들
많이찍고 이제
홀푸드로 갑니다🤩
Instagram의 독일PM 야베스그룹 쏘해피팀ㅣ김세나PT님 : "🌸하와이 3일차🌸 호놀룰루 동물원에서 예쁜 배경 속 인생샷📸 홀푸드에서 쇼핑하고 맛있는 점심까지🍴 숙소에서는 언니와 달콤한 디저트 타임🍰 노을 내린 와이키키 해변, 오늘도 완벽했다🌅💖 #하와이여행 #와이키키비치 #호놀룰루동물원 #홀푸드마켓 #하와이감성 #트래블로그 #여행스타그램 #럭셔리감성 #빛나는순간"
15 likes, 1 comments - pm_ssena - October 12, 2025: "🌸하와이 3일차🌸 호놀룰루 동물원에서 예쁜 배경 속 인생샷📸 홀푸드에서 쇼핑하고 맛있는 점심까지🍴 숙소에서는 언니와 달콤한 디저트 타임🍰 노을 내린 와이키키 해변, 오늘도 완벽했다🌅💖 #하와이여행 #와이키키비치 #호놀룰루동물원 #홀푸드마켓 #하와이감성 #트래블로그 #여행스타그램 #럭셔리감성 #빛나는순간".
www.instagram.com
홀푸드는 호놀룰루동물원에서
버스타고20분정도 가면 됩니다😁
Whole Foods Market
388 Kamakee St Street 100, Honolulu, HI 96814 미국
홀푸드 있는 이 곳에는
송중x , 추성x 등등
한국연예인들이 많이 사는 곳이라고😱
홀푸드는 유기농마트라고
생각하시면됩니다😍
하와이 호놀룰루 동물원 홀푸드마켓 푸드코트 (3)
재생
0
좋아요
0
00:09
접기/펴기
하와이 호놀룰루 동물원 홀푸드마켓 푸드코트 (3)
흰색은 일반 과일
초록색으로 분류된 과일이
유기농과일입니다💚
하와이 호놀룰루 동물원 홀푸드마켓 푸드코트 (4)
재생
0
좋아요
0
00:17
접기/펴기
하와이 호놀룰루 동물원 홀푸드마켓 푸드코트 (4)
싱싱한 고기!!
저희는 돼지 양 소고기까지
바베큐를 하기 위해 다양하게
구매완료‼️
하와이 호놀룰루 동물원 홀푸드마켓 푸드코트 (5)
재생
0
좋아요
0
00:05
접기/펴기
하와이 호놀룰루 동물원 홀푸드마켓 푸드코트 (5)
맛있는 와인도 사고
하와이 호놀룰루 동물원 홀푸드마켓 푸드코트 (6)
재생
0
좋아요
0
00:15
접기/펴기
하와이 호놀룰루 동물원 홀푸드마켓 푸드코트 (6)
쉐프님이 알려주신
무항생제계란과 버터구입하기❤️
하와이 호놀룰루 동물원 홀푸드마켓 푸드코트 (7)
재생
0
좋아요
0
00:14
접기/펴기
하와이 호놀룰루 동물원 홀푸드마켓 푸드코트 (7)
장을 다 보고 점심을 먹기위해
푸드코트로 고고
하와이 호놀룰루 동물원 홀푸드마켓 푸드코트 (8)
재생
0
좋아요
0
00:05
접기/펴기
하와이 호놀룰루 동물원 홀푸드마켓 푸드코트 (8)
박스를 가지고와서
내가 먹고싶은 음식을 담으시면됩니다
너무좋다❤️
하와이 홀푸드에서 점심은
과연?!?!
조금씩 야무지게 담기
치킨 고구마튀김 파스타
오이 두부강정?!
제 양에 딱 맞게 맛있게 먹었습니다❤️
하와이 호놀룰루 동물원
홀푸드마켓 장보기
오늘도 행복했다🙏🏻
#호놀룰루동물원 #호놀룰루동물원주차
#하와이홀푸드마켓 #하와이마트
#하와이홀푸드쇼핑 #하와이독일피엠
#하와이pm</t>
  </si>
  <si>
    <t>#하와이여행, #와이키키비치, #호놀룰루동물원, #홀푸드마켓, #하와이감성, #트래블로그, #여행스타그램, #럭셔리감성, #빛나는순간, #호놀룰루동물원주차, #하와이홀푸드마켓, #하와이마트, #하와이홀푸드쇼핑, #하와이독일피엠, #하와이pm</t>
  </si>
  <si>
    <t>https://maps.googleapis.com/maps/api/staticmap?channel=naver_blog&amp;size=585x300&amp;markers=icon:https://editor-static.pstatic.net/c/resources/common/img/common-icon-places-marker-x2-20180920.png%7C21.27109,-157.821479&amp;center&amp;zoom&amp;scale=2&amp;path&amp;visible&amp;language=ko&amp;client=gme-nhncorp&amp;signature=s-vMJqHc7wT89_TWKWHi3j4LR4M=|||https://postfiles.pstatic.net/MjAyNTEwMTZfMjMz/MDAxNzYwNTU1OTMwNzY0.5DpSPcpkV0BWoQXDJd5GBX-v6TQjnL_qPvh2Xu0jLhsg.QsrANsm90lgBCZUlku7nHd-cDkKsKlXaC9V9IQpU-7Ag.JPEG/output%EF%BC%BF2713255144.jpg?type=w80_blur|||https://storep-phinf.pstatic.net/cafe_001/original_7.gif?type=pa50_50|||https://postfiles.pstatic.net/MjAyNTEwMTZfMTMw/MDAxNzYwNTU1NTg0NTY4.oZiWDzmoTr12SMAWU2LMsF0fTuCcXIW_G-3Nldd_7cIg.ywQ81lO6NmjjU73LAGzRNiRvqaPeCb9A-Nq4o1Vcl8Qg.JPEG/IMG%EF%BC%BF4253.JPG?type=w80_blur|||https://postfiles.pstatic.net/MjAyNTEwMTZfMTg5/MDAxNzYwNTU1OTQ0MjI1.5jRzkXonuY1jAm38pSiC4vQNvVQSkqUm9EimbzNihCkg.waNb0d9gY_f6IFHfwBXQdydEZ_Q0fxWF49b9vtggfcog.JPEG/output%EF%BC%BF1942820981.jpg?type=w80_blur|||https://postfiles.pstatic.net/MjAyNTEwMTZfMjUx/MDAxNzYwNTU1NTc3NTQ4.B7f9X5oc56az61RSpUnYN0vK6F5W6QXM-4hTMfbVa0kg.Ua65ya8fmA47ySTKLooL2SwxYtz-eHJic5KEucuVPQkg.JPEG/98AFB521%EF%BC%8D7A7F%EF%BC%8D4623%EF%BC%8D8E77%EF%BC%8DF76EBE1445FA.jpg?type=w80_blur|||https://postfiles.pstatic.net/MjAyNTEwMTZfMTEg/MDAxNzYwNTU1OTU0OTI1.k39Cj8fnTsOMk0le_RUOBmzL4NF9Tv51iMn7tbOUepIg.x6jGdbU8J6RUDsoZQnH58h8neZqfDTmOONQ5KywhLeMg.JPEG/output%EF%BC%BF174723491.jpg?type=w80_blur|||https://storep-phinf.pstatic.net/cafe_001/original_6.gif?type=pa50_50|||https://maps.googleapis.com/maps/api/staticmap?channel=naver_blog&amp;size=585x300&amp;markers=icon:https://editor-static.pstatic.net/c/resources/common/img/common-icon-places-marker-x2-20180920.png%7C21.294662,-157.85209&amp;center&amp;zoom&amp;scale=2&amp;path&amp;visible&amp;language=ko&amp;client=gme-nhncorp&amp;signature=5j9vzDzr4PnL5IzgW1RmK3LaPwo=|||https://postfiles.pstatic.net/MjAyNTEwMTZfMjMx/MDAxNzYwNTU1NTc3NDI1.pOCw5ast1jaDtWRe8rGq0QXj3IpLTPOpEwQrb1dE3sog.szmtMuewmZE9Kx_0olo5v7vimBfnEiO6sYK5ipDSfGYg.JPEG/IMG%EF%BC%BF4319.jpg?type=w80_blur|||https://storep-phinf.pstatic.net/cafe_001/original_20.gif?type=pa50_50|||https://postfiles.pstatic.net/MjAyNTEwMTZfMTY1/MDAxNzYwNTU1OTg0ODM4.XFi1xanxCIsU5PGBxXjOntSg5bX_rYLJbM7M74dJ__4g.sdCnTytW_5FPFeT36mKkWL4YQzWbjHjcy5oYQwdlg0og.JPEG/output%EF%BC%BF1452980236.jpg?type=w80_blur|||https://storep-phinf.pstatic.net/cafe_001/original_4.gif?type=pa50_50|||https://postfiles.pstatic.net/MjAyNTEwMTZfNjMg/MDAxNzYwNTU1NDU2ODI0.mfo1ronSibrwOEF_Si8AJfhrsby-vvg3oW73EhpGex4g.xQbUkOOFznaoL9O7wyy65r4qmQBgjiy_lR62uq1ZZ8og.JPEG/IMG%EF%BC%BF4345.JPG?type=w80_blur|||https://postfiles.pstatic.net/MjAyNTEwMTZfMTk3/MDAxNzYwNTU1NTAyNzc3.1jOh7vLoTTm91rUFw5OpPMt-VfzUY9YqAd9Qt6Sek20g.1jdO7xWI9TqFciLbSLHTlfXfw0136Q-s0qDlGwvL53sg.JPEG/IMG%EF%BC%BF4370.JPG?type=w80_blur|||https://postfiles.pstatic.net/MjAyNTEwMTZfMTAy/MDAxNzYwNTU1NTMzOTQz.UbhGgs5VKDB-TzcEpCsKrueSU7mHyj2L-rIM492KrxMg.DVxdlTksLq4XeNppe1OrfKcvhTWgT-bjkO2cHMWJ6lgg.JPEG/IMG%EF%BC%BF4371.JPG?type=w80_blur|||https://postfiles.pstatic.net/MjAyNTEwMTZfMTg0/MDAxNzYwNTU1NDgxMjUw.KivsVhbrxg4ozosRrhKN3uU2kvbBHeC5u1UFarEN5Ngg.sEFERnJMOJhZBUKE-vJGBt1RSAnn34N-h-UGg4w2rjog.JPEG/IMG%EF%BC%BF4372.JPG?type=w80_blur|||https://postfiles.pstatic.net/MjAyNTEwMTZfMjcx/MDAxNzYwNTU1NDcxODI2.48hpcZ6WyxYS9m4XC-Rk0CBxuaYieBRK3PuY-TkqhFsg.3cCiLaixDR5uxsPqiZUkc0w_VnMez8qdrAWw3hmPfzog.JPEG/IMG%EF%BC%BF4373.JPG?type=w80_blur|||https://storep-phinf.pstatic.net/cafe_001/original_6.gif?type=pa50_50</t>
  </si>
  <si>
    <t>https://mblogvideo-phinf.pstatic.net/MjAyNTEwMTZfMTgg/MDAxNzYwNTU1NTY1MTc0.P-FoY-SKEClC2Ai7qEIlU-lcB0o4kR8ysdg2l-L-2eIg.QReIVOFbpZYNQky_HhoYrS4uyvyS5sMwLxiVyXahthUg.GIF/3181701433.gif?type=mp4w800</t>
  </si>
  <si>
    <t>독일 피엠쥬스 먹는법과 건강 효과 활용 팁 소개 : 네이버 블로그</t>
  </si>
  <si>
    <t xml:space="preserve">독일 피엠쥬스 먹는법과 건강 효과 활용 팁 소개 독일 피엠쥬스는 독특한 제조 방식과 성분으로 주목받는 음료입니다. 평소 건강에 관심이 많았던 저는 이 음료를 접하면서 어떻게 먹어야 효과적으로 즐길 수... </t>
  </si>
  <si>
    <t>blog.naver.com/zszqtssaez01843</t>
  </si>
  <si>
    <t>https://blog.naver.com/zszqtssaez01843/224062521850</t>
  </si>
  <si>
    <t>zszqtssaez01843</t>
  </si>
  <si>
    <t>독일 피엠쥬스 먹는법과 건강 효과 활용 팁 소개
독일 피엠쥬스는 독특한 제조 방식과 성분으로 주목받는 음료입니다. 평소 건강에 관심이 많았던 저는 이 음료를 접하면서 어떻게 먹어야 효과적으로 즐길 수 있을지 궁금했는데요, 이번 글에서는 피엠쥬스를 제대로 먹는 방법과 함께 건강에 어떤 도움을 줄 수 있는지, 그리고 일상에서 활용할 수 있는 팁을 친근하게 소개해 보려고 합니다.
피엠쥬스의 기본 섭취 방법
피엠쥬스는 주로 냉장 보관하며 하루 한두 번 소량씩 마시는 것이 좋습니다. 저는 처음에 한꺼번에 많이 마셨다가 속이 불편한 경험이 있었는데, 적당한 양을 천천히 마시는 게 부담 없이 몸에 잘 맞더라고요. 특히 공복보다는 식사 후나 간식 시간에 마시면 위에도 부담이 덜하고 흡수도 원활합니다. 물이나 다른 음료와 섞어 마셔도 괜찮으니 자신의 입맛과 편안함에 맞게 조절해 보세요.
건강 효과와 관련된 특징
피엠쥬스에는 다양한 식물성 성분이 함유되어 있어 면역력 증진이나 피로 회복에 도움이 되기도 합니다. 제가 주변에서 들은 이야기 중에는 꾸준히 섭취하면서 체력이 조금씩 좋아졌다는 분들도 있었어요. 물론 개인마다 차이가 있고, 음식만으로 모든 건강 문제를 해결할 수 없으니 참고하는 정도로 생각하면 좋겠습니다. 중요한 것은 균형 잡힌 식사와 함께 적절히 활용하는 거예요.
일상에서 쉽게 활용하는 방법
저는 아침 식사 때 요거트나 샐러드에 피엠쥬스를 조금 뿌려서 맛을 더하기도 했답니다. 간단하지만 색다른 풍미가 느껴져서 기분 전환에도 도움이 됐어요. 또 운동 후 수분 보충용으로도 괜찮고, 바쁜 날 에너지가 필요할 때 한 잔씩 챙기면 좋겠다는 생각이 들었죠. 다만 너무 늦은 시간에는 카페인 함유 여부를 확인하고 조절하는 게 좋습니다.
섭취 시 주의사항과 추천 팁
처음 시작할 때는 소량부터 천천히 몸 상태를 살피면서 먹는 걸 권합니다. 알레르기 반응이나 소화 불편함 같은 증상이 나타날 경우 즉시 중단해야 하니까요. 그리고 무엇보다도 규칙적인 생활습관과 충분한 휴식을 병행해야 피엠쥬스를 포함한 어떤 건강식품도 좋은 효과를 기대할 수 있습니다.
궁금한 점 하나, 혹시 피엠쥬스를 매일 꼭 마셔야 할까요? 꼭 그렇지는 않습니다. 꾸준히 적당량을 섭취하면서 몸 상태 변화에 귀 기울이고, 필요하다면 전문가 상담을 받으면 더욱 안전하겠죠? 또 다른 질문으로는 언제가 가장 좋은 시간대인가 하는데, 개인 차이가 있지만 저는 아침이나 오후 간식 시간대가 무난하다고 느꼈어요.
피엠쥬스를 생활 속에서 자연스럽게 접하며 건강 관리 도구로 삼아보면 의외로 작은 변화들이 쌓여 활력을 느낄 수도 있답니다. 여러 가지 정보를 참고하여 자신에게 맞는 방법으로 즐겨 보세요!</t>
  </si>
  <si>
    <t>https://postfiles.pstatic.net/MjAyNTExMDNfMTQ4/MDAxNzYyMTAzNjQyNzQ1.7CHcFYcV58XcXUXlUX48JKme1y3DaiSza1ahgR2yZJAg.JrIan5Gc6usSx7JLygCIFhJfi1dybB62byhUVlhZY0wg.JPEG/181.jpg?type=w80_blur|||https://storep-phinf.pstatic.net/motion2d_01/original_9.png?type=p100_100</t>
  </si>
  <si>
    <t>독일</t>
  </si>
  <si>
    <t>독일피엠 후기 : 네이버 블로그</t>
  </si>
  <si>
    <t xml:space="preserve">안녕하세요 저는 독일피엠 차승진매니저입니다 본업은 스포츠지원센터에서 운동지도사로... #광주광역시 #광주어딘가 #광주맛집 #광주카페 #인스타그램 #독일피엠 #좋반 #광주맘 #광주모임 #봉선동 #첨단지구... </t>
  </si>
  <si>
    <t>blog.naver.com/make_the_shine</t>
  </si>
  <si>
    <t>https://blog.naver.com/make_the_shine/224062443564</t>
  </si>
  <si>
    <t>make_the_shine</t>
  </si>
  <si>
    <t>안녕하세요 저는 독일피엠 차승진매니저입니다
본업은 스포츠지원센터에서 운동지도사로 장애인시설 또는 취약계층 아동시설에서 생활놀이체육을 해드리고 있습니다.
저는 코로나시기 이전에는 술도 좋아하고 영양제도 먹지 않는 사람이고 건강에 챙겨야지 생각만 하고 큰 관심은 없었습니다
그런데 코로나시기 이후에 코로나 백신 휴유증으로 건강상태가 악화되어서 대학병원 응급실로 이송하게 되었고, 원인을 찾지 못해서 입원을 하여서 다양한검사를 받으면서 검사 결과에 따라 약을 복용 하였습니다 건강 때문에 2년동안 일을 하지 못해서 금전적으로 힘들어졌습니다
그래서 건강에 관심이 많아져서 여러방면으로 예방에 대해 공부하고 관심없던 영양제도 찾게 되었습니다
그러다가 지인에게 독일피엠 건강기능식품에 대해 들었고 꼼꼼하게 알아보자 하고 긴 시간동안 제품에 대해 알아보았고 괜찮을것 같아서 주문을 하여 복용하게 되었습니다
복용 후 느낀점 추후에 올리도록 하겠습니다 감사합니다
새로운기회의시작
건강해지고싶고 다이어트에 관심 있으신분
프랜차이즈 자산구축 관심 있으신분
90개 특허기술력
검증된 안정성
탁월한 흡수력
엄청난 효과력
전 제품 도핑테스트 통과!!
누구나 건강해지고 자산구축 가능합니다
언제든지 문의주세요
PM 회원가입 https://pm.pmi-korea.com/main.do 홈페이지 - 메뉴 - 팀파트너 회원가입 후원인 (21148867) 입력 ‘차승진‘꼭 확인 해주세요 ✔ 반드시 🔴팀파트너🔴로 가입하셔야 할인 금액으로 구매 가능하십니다. ❤ 우대회원은 30% 비싸요.
#광주광역시 #광주어딘가 #광주맛집 #광주카페 #인스타그램 #독일피엠 #좋반 #광주맘 #광주모임 #봉선동 #첨단지구 #상무지구 #임산부 #다이어트 #동명동 #광주가볼만한곳 #광주핫플레이스 #광주맘 #필라테스 #전철우사거리 #전남대학교 #조선대학교 #광주대학교 #동신대학교 #호남대학교
#automobile #건강 #다이어트 #탈모 #구독 #영양제</t>
  </si>
  <si>
    <t>#광주광역시, #광주어딘가, #광주맛집, #광주카페, #인스타그램, #독일피엠, #좋반, #광주맘, #광주모임, #봉선동, #첨단지구, #상무지구, #임산부, #다이어트, #동명동, #광주가볼만한곳, #광주핫플레이스, #필라테스, #전철우사거리, #전남대학교, #조선대학교, #광주대학교, #동신대학교, #호남대학교, #automobile, #건강, #탈모, #구독, #영양제</t>
  </si>
  <si>
    <t>https://postfiles.pstatic.net/MjAyNTExMDNfMTgw/MDAxNzYyMDk1NzU3MDg2.xIYrJSJkGwZNyM0UDL6etGb-5cmLbXkxp1Cc_W8HpT4g.-GCOUU_a1VD7yGQr3j2SW7wO62DWlUiKoYcM4KIF2vEg.PNG/900%EF%BC%BF1761904276101.png?type=w966|||https://postfiles.pstatic.net/MjAyNTExMDNfMjUz/MDAxNzYyMDk1NzU3ODI3.ZhaA40nvD85eK_K6JRGwtOkm68dsx50EOqmkrL_AFegg.bMJaShqz6dgnWQOySEeToFqOJ29jqyy7iSaxBJKMN1cg.PNG/900%EF%BC%BF1761904276330.png?type=w80_blur|||https://postfiles.pstatic.net/MjAyNTExMDNfNTMg/MDAxNzYyMDk1NzU3MTMz.TxfDFcjU0YC0phUdd2e_4E2c4dKfAObVNCKYqkIjZ-4g.IifOaA2piy_hGlowQR0RL8ZxZFOFlQhEk5mgLmYCxPwg.PNG/900%EF%BC%BF1761904276431.png?type=w80_blur|||https://postfiles.pstatic.net/MjAyNTExMDNfMjI1/MDAxNzYyMDk1NzU4MjY5.5q2XkHiNLmSHp1VFnt6_peHlveprvmvKKbJ5BgtFWCQg.TQfqIjlqH3d1upxlC7QJwfUeSiwO0oF6UKmBX9u17oQg.PNG/900%EF%BC%BF1761904276550.png?type=w80_blur|||https://postfiles.pstatic.net/MjAyNTExMDNfMjg2/MDAxNzYyMDk1NzU3MDQ4.1C0fztpL7TR5ZJbHO6xGGawqR2m2wqIi7DS8iQAFbPUg.L9zGQj3W9UoJInK3TArFVOseknPZufovkgzFbKqhWT4g.PNG/900%EF%BC%BF1761904276671.png?type=w80_blur|||https://postfiles.pstatic.net/MjAyNTExMDNfODcg/MDAxNzYyMDk1NzU3NjI3.L7_q0i85kNOnctqPUZN6T6mJ2iyXpgip5q4ZbZDGIGQg.Qo5QhLAtwRCaFCvnkr9qrPb8k3dOvGei1p_SGCY96QEg.PNG/900%EF%BC%BF1761904276754.png?type=w80_blur|||https://postfiles.pstatic.net/MjAyNTExMDNfMTY5/MDAxNzYyMDk1NzU3NjU0.K7L-kaz5zrhNLy8oe-rTGFpL7xksiZcCsff_7FjtFAUg.N5W4z0DdPNj-nLfTBaF91PeGP2y96ysyabXO78ZT_D8g.PNG/900%EF%BC%BF1761904276856.png?type=w80_blur|||https://postfiles.pstatic.net/MjAyNTExMDNfMjI4/MDAxNzYyMDk1NzU3MDk2.fmvOswf-XRyEGPKPOWxj7YlAmtHnzXOqrjujADzIa2Eg.2Oo7tlsJPrwP5qPnpK77848vsjAZVUtz0p5AFZGRPqYg.PNG/900%EF%BC%BF1761904276939.png?type=w80_blur|||https://postfiles.pstatic.net/MjAyNTExMDNfMTQ5/MDAxNzYyMDk1NzU3NzAz.9bReaZmREjW_5qvXsXzHq_P5utXW_Cqlu6w48uqXD5Ig.I35k0HveyM6E5wemzMSZiMYLeoZbvSXV0r9q2RUZcg4g.PNG/900%EF%BC%BF1761904277024.png?type=w80_blur</t>
  </si>
  <si>
    <t>독일피엠 사업시작할때 해강그룹 선택한 이유 : 네이버 블로그</t>
  </si>
  <si>
    <t xml:space="preserve">독일피엠 사업가 이나금 입니다^^. 저의 게시글을 다 보신분들은 아시는 내용 이지만, 저는 2017년 27살때 네트워크마케팅 사업을 N사를 통해 접했고 더이상 사업을 지속적으로 진행 하는 부분에서 비전이 보이지... </t>
  </si>
  <si>
    <t>https://blog.naver.com/nageumyageum/224062332880</t>
  </si>
  <si>
    <t>독일피엠 사업가 이나금 입니다^^.
저의 게시글을 다 보신분들은 아시는 내용 이지만,
저는 2017년 27살때 네트워크마케팅 사업을 N사를 통해 접했고
더이상 사업을 지속적으로 진행 하는 부분에서 비전이 보이지 않아
독일피엠사업은 2023년 7월말 부터 시작 하였습니다.
그래서 소비자 기간 포함하면 8년 이라는 기간 동안
N사에서 애정을 많이 느낀 만큼 느끼게 된점 들도 많았는데요
독일피엠을 선택할 당시 해야 할까 말아야 할까 하는 부분에서도
굉장히 많은 고민을 했었고, 알아 볼려는 과정에서도
굉장히 신중 했습니다.
네트워크마케팅 경험이 있다보니 철새처럼
여기저기 알아 보기는 싫었고, 그와중에 나와 잘 맞는 그룹 과
스폰서를 찾아야 하니 많은 서치를 했었던거 같습니다.
하나하나 너무 자세하게 설명 드리기엔,
글이 너무 길어 질꺼 같아 제가 독일피엠을 알아 볼 때의
중요하게 여겼던 부분 핵심만 알려 드리도록 하겠습니다.
*스폰서 보다 그룹을 먼저 확인했다.
N사에 있으면서 알게 된 점은 수 많은 그룹들이 있다는거 였습니다.
우연히 알게된 스폰서를 통해서 내가 그룹을 선택 하는 것이 아니라
자연 스럽게 그룹에 속하게 되는거 였더라구요.
비지니스를 진행 하다보면 그룹 문화가
나의 비지니스 속도에도 영향을 미친다는 것을
알게 되고 나서 피엠을 알아볼땐 스폰서를 먼저 찾는 것보단
그룹들을 먼저 살펴 보았습니다.
제가 가장 우선 순으로 보았던 점은
[나이대가 다양한가.] 였습니다. 물론 제가 피엠을 알아 볼 당시
초기 시장이라 젊은 사람들이 현저히 없었고
50후반~70대 분들이 대다수인 분위기였습니다.
그래도 한두명이라도, 젊은 층들을 담아 낼 수 있는
문화와 분위기를 갖출 수 있는 그룹을 원했습니다.
제가 N사때는 저도 나이가 어렸고, 어른들과 소통이 어렵다고 느꼈고
제 또래만 소통하고, 비지니스 를 전개하고 싶은 마음에
젊은층 들로만 구성된 그룹을 좋아했고
나의 또래 분들로만 타켓층을 정해 비지니스를 해야 겠다
싶어서 온라인 마케팅으로 99%진행 했습니다.
물론 결과도 있었지만 하다 보니 한계를 너무 느끼고,
네트워크마케팅에서는 나이대 타켓층이 있어선
안되겠구나를 많이 느꼈습니다.
또한 비지니스를 하다보니 젊은사람들끼리 만 있으면
인생의 지혜가 부족한건 사실이니, 감정적으로
비지니스가 진행되면서 소통이 이루어지는 것도 겪기도 했습니다.
(물론 이건 어른들도 똑같겠지만,
지혜가 있는 어른이 한명 있는 것과는 또 다르니까요)
연륜에서 오는 지혜는 무시 할 수가 없다는 점을 많이 느끼어
이제는 어른들과 함께 있으면서 많이 배워야 겠다 싶었습니다.
리더로써 그릇을 넓히고 싶었습니다.
그리고 제가 온라인으로만 비지니스를 펼치니 확장의 속도가
느리다는 것을 알게 되었습니다.
물론 온라인 확장 속도가 오프라인(대면)보다 빠른건 맞습니다.
제가 말하고자 하는 느리다*는 표현은
온라인으로 비지니스 확장이 잘되는 사람은 따로 있다라는 겁니다.
인플루언서가 되어야했고, 팬심을 가지면서 보는
사람들이 많이 있어야지만 노출이 높고 문의를 많이 받게 됩니다.
사람들은 온라인상으로 상대의 외면을 먼저 보고 끌려 하게 되어 있으니까요.
문의가 쏟아지는 사람만 따로 있다는 것을 알게 되었고,
온라인으로도 충분히 사람들과 소통이 원활하지만
만나서 나누는 따뜻함의 정 과 교류를.
오프라인 대면의 힘을 무시할 수 가 없었습니다.
온라인으로만 비지니스 확장 하는 것도 한계를 느끼어
아 네트워크마케팅은 오프라인(현장대면)도
참 중요하다는 것을 알게 되었습니다.
그리하여 저는 독일피엠을 알아볼때 20대~70대까지
다 조화롭게 담아 낼 수 있는 문화를 가진 그룹을 찾았고
심지어 온라인 과 오프라인 둘다 노하우와 경험을 가진 그룹을 찾았습니다.
그렇게 몇몇 그룹들을 보았고, 그 뒤로는 한분 한분
제 눈에 들어온 사업 하시는 분들을 살펴 보게 되었습니다.
여기서 미팅을 요청할 스폰서를 선택할때
[외모로 뛰어난 사람과 개인기가 뛰어난 사람]은 피했습니다.
그 이유가 복제*때문인데요 이유는 위에 말씀 드린 거와 같이
문의 받는 사람만 받는다는건 복제할 수 없는 것을 뜻 합니다.
외모가 매력있거나 이뻐서 또는 온라인마케팅 을 퀄리티 있게 하다보면
나의 파트너들은 그것을 똑같이 하지 못합니다.
온라인 마케팅을 뛰어나게 하는 사람들을 집중있게 살펴보세요.
그 사람만 문의를 받습니다.
저도 온라인 마케팅을 하는 사람이지만 저는 활용 할 뿐
그리 잘하는 편에 속해 있지는 않습니다.
그래서 파워블로그 이던, 인플루언서급의 인스타 계정
다른 커뮤니티로 비지니스 확장을 하시는 분들은 제외한
평범하면서도 비지니스 노하우를 가진 스폰서를 찾았습니다.
그리고 높은 직급을 가지신 리더분도 찾지 않았습니다.
왜냐하면 나 말고도 많은 사람들을 이미 챙겨야 하기에
나와 밀도 있게 팀워크를 발휘하여 비지니스를 펼칠 수 있는
스폰서를 찾았던 것 입니다.
하지만..제가 알아 볼땐, 저 역시도 온라인으로만
서치를 해서 그런지 온전히 결이 딱 맞는 분은
찾아 볼 수 없었고, 그룹에만 중점을 두고
그 그룹에 속해 있는 원래 알고 지낸 분을 통해 검토하게 되었습니다.
허나 지금은 저에게 비전을 알려주신 분은 본인 그룹으로 독립을 따로해서 진행하시고
아쉽게도 다른 방향성을 가지게 되면서 제 산하는 해강그룹에 속해서
지금의 저의 스폰서는 해강그룹 정소진 그룹장님과
비지니스 진행을 함께 하게 되었습니다.
그러면서 드는 생각은 인연은 다 따로 있는거 같다 입니다.
여러분들도 그룹과 스폰서를 찾으실때
나와 결이 맞는 곳을 선택 하세요 ^^.
저는 해강그룹과 함께 하고 싶은 마음이 컸습니다.
배울점들이 너무 많았고, 저의 장점을 잘 발휘 할 수 있는 그룹 문화였습니다.
그리고 그룹의 확장이 될려면 중심이 그룹장님들 기준으로
시스템이 돌아 가는게 아니라 파트너들도 성장 할 수 있게
그릇을 넓힐 수 있게 성장이 지속적으로 파트너들에게도
펼쳐나가는 것이 정말 중요한데
그런 문화를 가진 그룹이기도 했습니다.
그리고 비지니스 확장은 집중 과 몰입 그리고 속도가 너무 중요한데
그런 부분에서도 저를 잘 이끌어 주시고,
계산 하지 않는 그룹장님들의 스폰서링들..
하나하나 또 나열하자면 또 너무 긴 글이 될꺼 같네요 ㅎㅎ
저에겐 너무 적합한 곳이였고, 지금 까지 비지니스를 진행하면서
함께 할 수 있음에 너무 감사한 시간들이 많았습니다.
말로가 아닌,
현장에서 직접 경험 하시고 쌓아둔 노하우를 알려주시고,
삶적으로도 지혜를 나누어 주시고
파트너들을 위해서라면 언제든지 달려 와주시느 후원
넓게 보는 관점과 시기/질투/비방 하지 않는 소통법
시간이 오래 걸리는 일이라며 허황된 꿈만 심어주는게 아니라
현실적인 점검을 해주는 스폰서링
진심으로 파트너를 응원해주시고 챙겨주시는 마음까지.
제가 배울점들이 너무나 많은 그룹 문화
해강그룹을 만난 저의 선택에 늘 소름이 돋습니다 ㅎㅎ
물론 사람은 완벽하지 않습니다.
나의 부모님도 나의 배우자도
나의 자녀도 완벽히 맞는 사람 없듯이
비지니스관계 그룹 과 팀도 온전히 100% 나 와 맞을 순 없지만
결이 같아야 하는것이 정말 중요 한거 같습니다 ^^
어쩌면 한 평생을 함께해야 하는 사람들 이니까요.
그리고 비지니스 결과를 빠르게 낼 수 있도록
가이드를 배움 받는 것도 너무나 중요합니다.
이 일은 천천히 걸리는 일이니까~ 하면
진짜 천천히 가게 되고
밀도 있게 해내고자 한다면
빠르게 결과를 낼 수도 있는 일 입니다.
제가 네트워크마케팅을 하면서 알게 된건
머리로 비지니스를 하는게 아니라는 것 입니다
이 일을 하기로 마음 먹었다면,
수 많은 경험이 너무 중요합니다.
그게 곧 나의 실력이 되는 거니까요.
저는 0에서부터 시작해서 지금의 결과를
노력으로 인해 만들어 냈습니다.
그래서 타고난 사람이 아닌 정말 아무것도 아닌
평범함 사람도 해낼 수 있는 방법 과 노하우를 가질 수 있게 된 것입니다.
이 일은 단기적으로 하는 일이 아닌
장기적으로 안전하게 지속해야 하는 것이 중요합니다.
저 이나금은 지금은 해강그룹의 팀원이지만
저 역시도 팀이 커진다면 제 산하로
그룹을 독립하여 그룹장이 되는 것까지 생각하며
비지니스는 전개 하고 준비 하고 있습니다.
그만두지 않고 책임감 과 사명감으로 임하고 있는 사람들과 함께하세요
그리고 피엠을 시작하실거라면, 저 이나금과 함께하세요 ^^
서로에게 시너지가 되며 , 도움이 되는 서로의 파트너가 되었으면 합니다.
비지니스 문의는 언제나 환영합니다!
독일PM 글로벌 유통권 신청
네이버 폼 설문에 바로 참여해 보세요.
naver.me</t>
  </si>
  <si>
    <t>https://postfiles.pstatic.net/MjAyNTExMDJfMTkz/MDAxNzYyMDgzMDgzNjk2.btAmF0Ga_RUigifpR3aSdSMQ6LxLDmdc50UndWqBifwg.MtE_FM98p8Vn2D_TS13v0N8FxUzsqOCTO8nyGa7goTwg.JPEG/IMG_0270.jpg?type=w773|||https://dthumb-phinf.pstatic.net/?src=%22https%3A%2F%2Fsurvey.pstatic.net%2Fnform%2Fimage%2Flogo_og.png%22&amp;type=ff120|||https://postfiles.pstatic.net/MjAyNTExMDJfMjIx/MDAxNzYyMDg5MTU2Mzk4.m1G1PTWKuqiP689JwNgb1eq9_g2ZrzA0SAHjJXqPWEMg.PsKiu4MvzzyXnqa3hZ6cstRc09O-JinEty-0f5PJ5oog.JPEG/KakaoTalk_Photo_2025-10-22-00-40-56.jpeg?type=w80_blur|||https://postfiles.pstatic.net/MjAyNTExMDJfMTQg/MDAxNzYyMDg5MzEwMzc5.ebisfCK7VuMI9u8bGFY9KtF_t_7IqScLY9vi22L4bUMg.ZtCzA9aO00vKUhgoNnqXVWdjtJZAklsoz4ekJQfWBBgg.JPEG/SE-7e3f9286-7c8a-4d38-839e-3f410503d67d.jpg?type=w80_blur</t>
  </si>
  <si>
    <t>왜독일피엠인가요?-세포가 답한다 : 네이버 블로그</t>
  </si>
  <si>
    <t xml:space="preserve">세상에 영양제가 어디 독일피엠뿐인가요? 피엠 한번 드신분들은 대체 왜 다른 영양제는 안드시려고... #독일피엠 #피엠파워칵테일 #액티바이즈 #NTC기술 #세포건강 #혈관건강 #항산화 #비타민B군 #유산균... </t>
  </si>
  <si>
    <t>blog.naver.com/annessam2003</t>
  </si>
  <si>
    <t>https://blog.naver.com/annessam2003/224062311054</t>
  </si>
  <si>
    <t>annessam2003</t>
  </si>
  <si>
    <t>안녕하세요? 다교온 피엠입니다. 11월은 액션팩이 있는 달이어서 파워칵테일 +리스토레이트 세트 찾는 분들이 많은데요.
세상에 영양제가 어디 독일피엠뿐인가요? 피엠 한번 드신분들은 대체 왜 다른 영양제는 안드시려고 하는걸까요? 그 이유를 한번 조목조목 짚어봐요.
🥗 1. 밥만 잘 먹으면 건강할까?
“삼시 세 끼 밥만 잘 챙겨 먹으면 된다”
라고 아직도 말씀하시는 분들이 더러 있으시더라구요. ㅎㅎ
하지만 문제는 지금의 밥상이 더 이상 과거의 밥상이 아니라는 거죠.
1950년대 시금치 한 단에 들어 있던 미네랄을
지금은 시금치 30단을 먹어야 겨우 얻을 수 있습니다.
1950년대 사과 1개에 들어 있던 비타민C를 채우려면 지금은 사과 20알 이상이 필요하대요.
미네랄, 내 몸을 살린다/모아북스 /p. 22발췌
이유는 간단합니다.
토양의 영양 고갈, 화학비료, 유통 중 산화 손실 때문이죠. 즉, 칼로리는 넘치지만 영양은 결핍된 시대입니다.
우리가 ‘잘 먹는다’고 생각하는 밥상,
사실은 세포를 굶주리게 하는 밥상이에요.
💊 2. 그래서 영양제를 찾지만, 알약의 한계
그래서 대부분의 사람들은 영양제를 챙깁니다.
하지만 시중 영양제의 90% 이상은 ‘알약’.
저 역시 20년 넘게
암*이, 애*미, 뉴*킨 등 수십 가지 알약으로 된 영양제를 먹었습니다. 한 20년먹었네요.
먹어야하는 영양소를 다 챙기려면 90가지가 넘어요. 그럴 순없으니 제 맘대로 조제했지요.
일반적인 상식을 가지고 말이에요.
그렇게 하루도 빠짐없이 꾸준히 먹어도,
몸은 별로 달라지지 않았습니다. 항상 피곤했고, 눈도 충혈되어있었고, 한달에 서너번씩 체해서
늘 고생했어요.
그 이유는 단순합니다.
알약은 흡수율이 낮기 때문이에요.
우리 몸은 알약을 ‘음식’으로 인식해
위산과 소화효소를 분비하며 분해하려 하지만
그 과정에서 영양의 60~80%가 손실됩니다.
결국, 먹는다고 다 흡수되는 게 아닌 셈이죠.
🧬 3. 피엠은 물분자안에 완전히 녹아서 혈관을 타고 세포로 전달되는 영양제입니다 = NTC 독일과학
독일피엠(PM-International)의 모든제품은
NTC® 기술(Nutrient Transport Concept) 로 만들어진 피엠만의 특별한 영양소전달개념을 채택하고 있습니다. 쥬스를 마시면 영양이 가장 결핍되어있는 세포가 반응해서 그것이 ㅎㅈ반응으로 나타나죠.
창원에서 에스테틱운영하시는 40대 고객님,
파워칵테일 +액티바이즈 아침 공복 시음체험 톡입니다,
이 기술은 영양소를 위에서 분해하지 않고, 물분자안에 완전히 녹은 영양소가
혈관을 통해 세포로 직접 흡수되는 공법이에요.
즉, 피엠은 위장을 거치지 않아
소화기계의 부담을 줄이고,
세포가 즉시 영양을 받아들이는 ‘세포직배송 시스템’인셈이죠.
"알약은 위장이 먹고,
피엠쥬스는 세포가 먹는다.
흡수의 질이 다르니 결과도 다를 수밖에요"
🩸 4. 세포에 영양을 전달하는 길, 혈관
우리 몸은 약 60조~100조 개의 세포로 이루어져 있고, 그 세포 하나하나에 혈관이 영양을 공급합니다.
그 길이는 무려 10만 km — 지구 두 바퀴 반.
결국, 인간의 몸은 거대한 혈관 네트워크입니다.
아무리 좋은 영양을 섭취해도
혈관이 막히면 세포는 굶습니다.
혈류가 원활해야만 영양이 세포안으로 제대로 들어가겠죠.
🍖 5. 단백질 과다 섭취와 혈관 손상
요즘 단백질이 대세이지만,
동물성 단백질을 과하게 섭취하면
‘호모시스테인(Homocysteine)’이라는 독성 부산물이 생깁니다.
이 물질은 혈관벽을 손상시키고,
혈관을 딱딱하게 만들어 고지혈증과 심혈관 질환을 유발하죠.
이때, 호모시스테인을 안전하게 바꿔주는
핵심 영양소가
바로 비타민 B6, B9(엽산), B12입니다.
Fit Line 제품들중,
Vt.B6, B9, B12 가 특히 많이 들어있는 제품은
액티바이즈와 뮤노겐이에요. 당연히 혈관건강의 끝판왕이겠죠?
“혈관이 막히면 세포가 굶고,
혈관이 살아나면 세포가 깨어난다.”
🌿 6. 피엠 전 제품에 흐르는 공통 코드 ➡️비타민 B
피엠의 거의 모든 제품에
각기 다른종류의 비타민B군이 들어 있습니다.
파워칵테일: 장 건강과 에너지 균형
액티바이즈: 혈행·혈류·에너지 대사
프로쉐잎: 단백질 대사와 체중 밸런스
뷰티: 피부세포 순환과 탄력
탑쉐잎: 식욕호르몬(GLP-1) 대사 조절
즉, 피엠은 단일 영양제가 아니라
하나의 세포 에너지 시스템으로 설계된 루틴이에요.
🍇 7. 항산화 — 세포를 지키는 마지막 방패
건강을 망치는 또 하나의 적,
그건 바로 활성산소(Free Radical) 입니다!
활성산소는 스트레스, 가공식품, 미세먼지
등으로 인해 생기며
세포막을 손상시키고 노화를 가속화합니다.
이걸 막는 게 바로 항산화(抗酸化) 입니다.
산화, 즉 노화를 막는다는 뜻이죠.
항산화를 위해서는
몸의 산성화를 막고,
활성산소를 중화시키는 파이토케미컬(Phytochemical)
식물영양소를 충분히 섭취해야 합니다.
하지만 현실적으로 매일 신선한 채소와 과일 50가지를 꾸준히 먹기란 불가능하죠.
So, 피엠의 시그너쳐 파워칵테일은
53가지 과일·채소·곡물을
효소 형태로 발효·농축해 담았고,
여기에 유산균(Probiotics) 까지 함께 넣었습니다.
즉, 항산화 + 장 건강 + 면역까지
한 번에 세포 보호 루틴을 완성한 셈이에요.
🌱 세포를 지키는 힘이 곧 회복력이다.
파워칵테일 한 잔은 단순한 음료가 아니라,
세포를 새롭게 만드는 ‘항산화 과학’입니다.
⏰ 8. 왜 3개월 이상 꾸준히 먹어야 할까?
세포가 완전히 교체되는 주기는 약 90일.
즉, 몸이 바뀌려면 세포가 바뀌어야 하고,
세포가 바뀌려면 최소 3개월은 꾸준히 영양이 공급돼야 합니다.
그래서 피엠은 ‘구독 시스템’을 통해
세포 리듬에 맞춘 건강 루틴을 제안합니다.
한달은 '느끼는 시간'
두달은 '적응하는 시간'
세 달은 ‘변화가 시작되는 시간’.
독일피엠 구독방법안내
https://m.blog.naver.com/annessam2003/224053839713
독일피엠회원가입,꿀가이드(추천인: 이다교8488359)
안녕하세요?독일피엠을 도구로 미국 라스베가스와 메릴랜드까지 글로벌 피엠 사업을 하고있는 이다교(84883...
m.blog.naver.com
💬 9. 결론: 세포가 살아나면 인생이 달라진다
건강은 하루에 만들어지지 않습니다.
하지만 세포에 맞는 영양을 꾸준히 채우면
몸은 반드시 반응합니다.
피엠은 단순한 비타민이 아니라,
세포가 진짜로 흡수하고 작동하는 과학적 시스템이에요.
세포가 살아나는 순간,
당신의 몸과 에너지도 완전히 달라질 수밖에 없어요.
저는 만성피로, 위염, 방광염, 원인불명피부 두드러기에서 완젼히 해방되었답니다...삶의 질이 달라지는것 경험해보신분들은 알죠!!
#독일피엠 #피엠파워칵테일 #액티바이즈 #NTC기술 #세포건강 #혈관건강 #항산화 #비타민B군 #유산균 #건강습관 #피엠영양제
다교온 피엠
성함과 연락처를 오픈해주세요^^*
open.kakao.com</t>
  </si>
  <si>
    <t>#독일피엠, #피엠파워칵테일, #액티바이즈, #NTC기술, #세포건강, #혈관건강, #항산화, #비타민B군, #유산균, #건강습관, #피엠영양제</t>
  </si>
  <si>
    <t>https://postfiles.pstatic.net/MjAyNTExMDJfMjA2/MDAxNzYyMDczMjk0MDgy.RBhLZitPrJv_IDcNwm8kJuEnhXLI4bfkHni24NS7uDQg.9F_fcI1KXBiGeWtc2MlrUBfGrn4ksmEPNh8Urz1msJ0g.JPEG/900%EF%BC%BF1754820468607.jpg?type=w80_blur|||https://postfiles.pstatic.net/MjAyNTExMDJfMjUz/MDAxNzYyMDcyMTIzMzQx.Ul-kXOXVy-ueif9T-vyBphgehH6UE89ByPdVKh6T8C8g.9zypQ4udqvKA39VaFctAtXL302vn7KKwUfrP2esqQYgg.JPEG/900%EF%BC%BF20251102%EF%BC%BF165628.jpg?type=w80_blur|||https://storep-phinf.pstatic.net/cafe_002/original_15.gif?type=pa50_50|||https://postfiles.pstatic.net/MjAyNTExMDJfNzEg/MDAxNzYyMDg4ODYyMTEx.eikZ7tgakkSEFMbLFCURMocvSVgRnb_1IifzV3OpfLYg.wXjElsJtLZH86vp_1xnUSlvtALJvD0KkvUXaJa7FnDQg.JPEG/1762088861116.jpg?type=w80_blur|||https://postfiles.pstatic.net/MjAyNTExMDJfNzcg/MDAxNzYyMDg4ODkyODQ4.uKbWUGxIphCGp_FLKjeCT3CX6vtqkUsAEhmsVVmX_mcg.D_LbC-AvDldjCs1Npz_FQUJ4WA39pQI2CBsFjaJoagog.JPEG/1762088891933.jpg?type=w80_blur|||https://storep-phinf.pstatic.net/cafe_001/original_6.gif?type=pa50_50|||https://storep-phinf.pstatic.net/cafe_002/original_3.gif?type=pa50_50|||https://postfiles.pstatic.net/MjAyNTExMDJfMjI1/MDAxNzYyMDg4OTE0MTcz.QJiVpFvguU3DHERz7sJfrYTex-haVVfb9NZNdE8TVsAg.PD2CqECprxefKa7E8M5oWsK9LiiZI0tgV0QdwoEETmQg.JPEG/1762088913216.jpg?type=w80_blur|||https://storep-phinf.pstatic.net/cafe_002/original_1.gif?type=pa50_50|||https://postfiles.pstatic.net/MjAyNTExMDJfMjc3/MDAxNzYyMDg4OTMyODkx.SvkOWOjKENWhEQyvr4jLYAoD2CFgMabLFQbHS20GmZ8g.MBvd0iRa5cmd5bF5viXYZ_-CJpengiapczTu5lKevHkg.JPEG/1762088931860.jpg?type=w80_blur|||https://storep-phinf.pstatic.net/cafe_002/original_12.gif?type=pa50_50|||https://postfiles.pstatic.net/MjAyNTExMDJfMTc4/MDAxNzYyMDczMjk0ODAz.USnncU4XwLL-IRIVrYRBSGiBBuz7jrVKhmqSCsNl78Eg.FHUJajh06Ie2d5_GNpV5E1IZmTvo-v_dKucsPmrBGHAg.PNG/900%EF%BC%BF20230724%EF%BC%BF205458%EF%BC%BF13.png?type=w80_blur|||https://storep-phinf.pstatic.net/cafe_002/original_13.gif?type=pa50_50|||https://postfiles.pstatic.net/MjAyNTExMDJfMTI2/MDAxNzYyMDg1NDM0Mzgx.flXntP-PZW17HSPfRgyvrnkABjj84pmR5nTIj3C8NIQg.oRlHB7D_pR7TTYZdKmBmFklOs-4Pxj_-Be-fzwk-3wsg.JPEG/1716333166746.jpg?type=w80_blur|||https://postfiles.pstatic.net/MjAyNTExMDJfODkg/MDAxNzYyMDg1NDM0NTE5.OtkhKZTCcfiXbmKR29gURV0E_xGuV3COQop68wuNpwsg.6UUkhg8Kg7XbXTixeH3qwgRKvqnaIRN-geLEGSstzhMg.JPEG/900%EF%BC%BF1708392704352.jpg?type=w80_blur|||https://storep-phinf.pstatic.net/cafe_002/original_9.gif?type=pa50_50|||https://storep-phinf.pstatic.net/cafe_002/original_10.gif?type=pa50_50|||https://postfiles.pstatic.net/MjAyNTExMDJfNjAg/MDAxNzYyMDg4OTU2NjEy.a1R5y8gaGYNCeT1Nej0ZVuiccvmVSOiUZ1L3Lumlk0wg.JH2g664wjvcYwi6aLViOgXqCzO6994R2lrI3P-KEwzQg.JPEG/1762088955667.jpg?type=w80_blur|||https://storep-phinf.pstatic.net/cafe_002/original_21.gif?type=pa50_50|||https://postfiles.pstatic.net/MjAyNTExMDJfMjMy/MDAxNzYyMDg2NTg0MTUx.BlRCT6_KX5vd9YBkVgTh3TRYTbR-MrIb6POvXi_BV2sg.hFIafJG8oelmb0J--rZ3vefgJwYO9wGd4xBnRzFMn8Eg.JPEG/1761999196288.jpg?type=w80_blur|||https://storep-phinf.pstatic.net/cafe_002/original_23.gif?type=pa50_50|||https://postfiles.pstatic.net/MjAyNTExMDJfMjg4/MDAxNzYyMDg4OTc1NzU3.n0ZrTXvUHQvZs3oBoIc-gKT6vf7VSWycM5uf3Mmamksg.KjXG1IUIWcZWTEZ4Qro3ud_YboeL-z47TZFopSjuV-0g.JPEG/1762088974883.jpg?type=w80_blur|||https://storep-phinf.pstatic.net/cafe_002/original_6.gif?type=pa50_50|||https://storep-phinf.pstatic.net/cafe_002/original_5.gif?type=pa50_50|||https://dthumb-phinf.pstatic.net/?src=%22https%3A%2F%2Fblogthumb.pstatic.net%2FMjAyNTEwMjVfMTcy%2FMDAxNzYxNDA0MjUxOTM0.Ab2tT54re5jWw6ElL6OWfc_KDDtxUNHqdurQ8KTFPpAg.ST9Z9UhVtPnv7OzmL8LJGNycOZxITqrQ6j9tWFov9a4g.PNG%2F900%25A3%25DF1741434139878.png%3Ftype%3Dw2%22&amp;type=ff500_300|||https://storep-phinf.pstatic.net/cafe_002/original_19.gif?type=pa50_50|||https://storep-phinf.pstatic.net/cafe_002/original_24.gif?type=pa50_50|||https://postfiles.pstatic.net/MjAyNTExMDJfNzQg/MDAxNzYyMDg4MTI5ODg2.qmpbGOYQHw3cjm6scPHFQ6Vhw7S7lgxsIXg8J8Nt2QYg.ikp-rFMO3so5VcYwzOdr4rbH34h9etrQSCDd4vzW0fcg.JPEG/900%EF%BC%BFScreenshot%EF%BC%BF20250206%EF%BC%BF151043%EF%BC%BFInstagram.jpg?type=w80_blur|||https://dthumb-phinf.pstatic.net/?src=%22https%3A%2F%2Fiopen.kakaocdn.net%2Fimg%2Fog%2Fv2%2Fko_scrap_sv_003.png%22&amp;type=ff500_300</t>
  </si>
  <si>
    <t>이다교</t>
  </si>
  <si>
    <t>독일피엠 액션팩 프로모션 , 최저가 피엠2종 : 네이버 블로그</t>
  </si>
  <si>
    <t xml:space="preserve">안녕하세요 독일PM 공식 매니저 옌미입니다:) 역대급 프로모션이라 소개를 안할수가 없네요 역대 최최최저가 프로모션인 액션팩 소개드릴게요 아침에 먹는 파워칵테일 (종합비타민 / 모유유래... </t>
  </si>
  <si>
    <t>blog.naver.com/salang9928</t>
  </si>
  <si>
    <t>https://blog.naver.com/salang9928/224062279724</t>
  </si>
  <si>
    <t>salang9928</t>
  </si>
  <si>
    <t>안녕하세요
독일PM 공식 매니저 옌미입니다:)
역대급 프로모션이라 소개를 안할수가 없네요
역대 최최최저가 프로모션인 액션팩 소개드릴게요
아침에 먹는 파워칵테일
(종합비타민 / 모유유래 유산균/식이섬유)
저녁에 먹는 리스토레이트
(무기질8종 , 천연미네랄, 회복과 재생)
단품 구매시
파워칵테일 125000원 / 리스토레이트 33700원
&gt; 1세트 158700원 인데요
액션팩 프로모션 (11/1-11/30)
-액션팩 1세트 (5개월치)
구성 : 파워칵테일 5박스 + 리스토레이트 5박스
가격 : 545,600원 (109,120원꼴)
인데,
액션팩 2세트를 하시면 “2달치를 추가 무료 증정 !”
정말 처음 봐요 역대급 프로모션 😊
-액션팩 2세트 + “2달치 무료증정”
(12개월치)
구성 : 파워칵테일 12박스 + 리스토레이트 12박스
가격 : 1,091,200원 (월9만원꼴)
기회 놓치지마세요!
역대급 최저프로모션입니다
궁금할 땐 네이버 톡톡하세요!</t>
  </si>
  <si>
    <t>https://postfiles.pstatic.net/MjAyNTExMDJfMjA4/MDAxNzYyMDg1NjIyNDUz.HW7P5mpGtPR8vgbaV8fEJjWKNGlYzD5gtbIB945VllMg.DEkDUyDJy6il3W-5Gqwx0uG9t8MnK8Ka8vx5wTvwKtwg.JPEG/IMG%EF%BC%BF6906.jpg?type=w80_blur|||https://postfiles.pstatic.net/MjAyNTExMDJfMjc3/MDAxNzYyMDg1ODkzMzI1.RFAWjEoqDle5iK07UoOemlPV4s2iNDz8OVZzvIJVlU8g.zruXbG3tn7navUpJEFpGA4ujHS8H3nlpBexD8IjUkngg.JPEG/IMG%EF%BC%BF6901.JPG?type=w80_blur|||https://postfiles.pstatic.net/MjAyNTExMDJfOTQg/MDAxNzYyMDg1OTc2MTYz.DiNGKkcP0-gPJNuCbNXDAiQ6yAaUISJNa2imX_EqTDMg.1e2WoC9TjvW3p4grswoUklQk76e5ZfFuc1Ev_Z1dblsg.JPEG/IMG%EF%BC%BF6905.jpg?type=w80_blur|||https://postfiles.pstatic.net/MjAyNTExMDJfNDAg/MDAxNzYyMDg2MjE4OTY2.pnPfsNdSi2N6Zufx8ZXgoIBfzuQ7J4ebJdotyW2svRcg.k3zfamv1XyoeclnbfXomunktEpccVm_6-URx7RcFV0cg.JPEG/IMG%EF%BC%BF6908.jpg?type=w80_blur|||https://postfiles.pstatic.net/MjAyNTExMDJfMjAx/MDAxNzYyMDg2NTMwMDM4.Nn3YSA63gF6eC6qif7-HvfN80cSOjD2CAVYTM4-S5Scg.0BJrZUden32TbdMqmh4WEQVqMMXlclT07OLg7da1Wccg.JPEG/IMG%EF%BC%BF6896.JPG?type=w80_blur</t>
  </si>
  <si>
    <t>드릴게요</t>
  </si>
  <si>
    <t>독일pm쥬스 3종 가장 저렴하게 드실수 있는 .. : 네이버블로그</t>
  </si>
  <si>
    <t xml:space="preserve">포함 피트라인 파워칵테일 먹는 방법 : 250ml 물에 1포 잘 섞어서 아침 공복 추천 (물양은 개인 취향)... 미네랄 피트라인 리스토레이트 먹는 방법 : 물 250ml 물에 1포 잘 섞어서 저녁에 추천 (물양은 개인... </t>
  </si>
  <si>
    <t>blog.naver.com/kimsena46</t>
  </si>
  <si>
    <t>https://blog.naver.com/kimsena46/224062126151</t>
  </si>
  <si>
    <t>kimsena46</t>
  </si>
  <si>
    <t>안녕하세요 친절한 독일피엠진주입니다
독일pm쥬스 3종 2종 얘기들어보셨죠?
독일피엠쥬스 3종이란?
첫번째. 파워칵테일 영양 공급
두번째. 리스토레이트 미네랄
세번째. 액티바이즈 에너지 공급
이 3가지가
주력 상품인데요.
그럼 조금 더 디테일하게 살펴볼가요?
첫번째. 파워칵테일
영양을 넣어주다.
가격 : 125,000원
1일 1포 총 30포
58가지 발효 과일 야채 발효성분 포함
비타민 A B C E K
유산균 효소 식이섬유 포함
피트라인 파워칵테일 먹는 방법 :
250ml 물에 1포 잘 섞어서 아침 공복 추천
(물양은 개인 취향)
간편하게 먹을수 있게 포로 되어있으며 꼭 아침에 먹는것은 아닙니다.
점심에 드셔도 추천!
두번째. 리스토레이트
미네랄을 넣어주다
가격 : 33,700원
1일 1포 총 30포
칼슘 마그네슘 철분 아연 구리
망간 크롬 비타민D 셀레늄
찌꺼기가 남지 않는 수용성 미네랄
뼈, 키성장에 도와주주며
인체에 반드시 필요한 무기질
독소배출을 도와주는 미네랄
피트라인 리스토레이트 먹는 방법 :
물 250ml 물에 1포 잘 섞어서 저녁에 추천
(물양은 개인 취향)
칼슘 영양제 잘못드시면
몸 속에 오히려 찌꺼기가 남을수 있는거 아시죠?
그래서 반드시 수용성 미네랄을 드셔야 하는데
수용성 미네랄은 오직 독일pm에서만
드실수 있습니다.
영양성분표를 보시면
다른거에 비해 적으실수 있어요.
하지만 흡수력을 보셔야됩니다.
1000%라고 해놓고
10% 흡수되고
나머지가 우리 몸 속
찌꺼기가 되면
오히려 안먹는게 좋겠죠?
세번째. 액티바이즈
에너지를 공급하다.
가격 : 42,600원
1일 3스푼 30일분
세포 미트콘트리아 에너지 생성의
필수 재료 비타민B 8종 모두 포함
아마존 과라나 열매 추출 카페인
비타민C 함유
액티바이즈 같은 경우에는
권장량 보다 더 섭취해보시는 것을
추천드립니다.
특히 만성피곤 두통에 시달리시는 분들은
그만큼 에너지 재료가 고갈되었다는 뜻입니다.
반드시 추가로 드셔보세요.
권장량은 이 정도의 비타민이 부족했을때
몸에 이상이 나타난다는 양 입니다.
그럼 독일PM쥬스 3종
가장 저렴하게 드실수 있는 방법은?
바로 11월 7주년 행사를
이용해보세요.
1년에 단 두번
행사 달 : 5월 11월
'액션팩' 5개월분을
가장 저렴하게 판매합니다.
독일PM 액션팩
(5월 / 11월 구매가능)
가격 : 545,600원
구성 : 파워칵테일 (영양) 5박스
리스토레이트 (미네랄 )5박스
이번 7주년 기념으로
액션팩 2셋트를
구매하시는 분들께
파워칵테일 2박스
리스토레이트 2박스를
무료로 드립니다!!!!!!
대박 이벤트죠
가격 비교를 해볼께요.
파워칵테일 리스토레이트
한달 가격 비교
회원가 158,700원
오토쉽 137,100원
액션팩 10,9120원
11월 행사 가격
90,900원
마지막 액티바이즈 (에너지 공급)
쥬스는 5+1 행사를 이용하시면 되는데요.
5+1으로 이용하시면
정가 43,600 보다 저렴하게
35,500원으로 이용가능합니다.
11월 대행사 기간
놓치지마세요!
구매방법은 오토쉽 회원만
이용가능하니 구매 원하시는분들은
꼭 아래 번호로 연락주세요.
친절한 독일PM진주
추천인 번호 8242016
제품/사업 문의
010 5295 0067
카톡 ID jinju0067
#독일PM쥬스 #독일PM쥬스3종
#PM쥬스저렴하게사는방법</t>
  </si>
  <si>
    <t>#독일PM쥬스, #독일PM쥬스3종, #PM쥬스저렴하게사는방법</t>
  </si>
  <si>
    <t>https://postfiles.pstatic.net/MjAyNTExMDJfMTA2/MDAxNzYyMDc1ODYzNzI1.ULul1V7yEQLcIVzyLZIQb1zRzvOrgWIl9xo-rK1--BYg.rByjucMj-G23FANZuPp0drmm_X8tFygFVcoKmyRRkDkg.JPEG/900%EF%BC%BF1762075862842.jpg?type=w966|||https://postfiles.pstatic.net/MjAyNTExMDJfMTM2/MDAxNzYyMDcyNDQzOTYy.oayN_Fk1vjTzeSPFirqWs6aDV2_Mqv8TPAbNLmh9v_Ag.KEiaF3MXqNqm8si9c3BXGmL5wWDiXlfBhygh-wteTHcg.JPEG/SE-7f52ac7e-b7c5-11f0-b782-5bf23a19a967.jpg?type=w80_blur|||https://postfiles.pstatic.net/MjAyNTExMDJfMTQg/MDAxNzYyMDcyMjM5OTYy.ySSaLvQdLS4C8FBKRHvRNuP9z5axC8SfE-u3ecP48nEg.Ks9f4inJ9X2oIswqVrE0GWj_GJqRmq1KBSzGUK0pMHMg.JPEG/900%EF%BC%BF20251102%EF%BC%BF171651.jpg?type=w80_blur|||https://postfiles.pstatic.net/MjAyNTExMDJfNDcg/MDAxNzYyMDcyMjQxMjc5.FdYzYkS6GGmWBWWCKF04W7sJfQtfBk2O53mc6vyhdW4g.N6hYjubQr-L74KbxRSnalxSJagp_ta1gb7Gz7ImsLx8g.JPEG/900%EF%BC%BF20251102%EF%BC%BF171658.jpg?type=w80_blur|||https://postfiles.pstatic.net/MjAyNTExMDJfMTU4/MDAxNzYyMDcyMjQwOTU4.xAv0LQH6x4DmwwBLhfaBPpY5-qtFZreC5LN5mbFw2dkg.1NA9Vpj5t6x3J__TYbPjjhtTPQ7KSl3g_68gXSwUVHMg.JPEG/900%EF%BC%BF20251102%EF%BC%BF171725.jpg?type=w80_blur|||https://postfiles.pstatic.net/MjAyNTExMDJfMjEg/MDAxNzYyMDcyMjQwMDE4.qJ8gjVyay8f1C9lR8Nl48wFhJYKtbIZ7voo9gEKpHRgg.h-d_57cRva6Rq5k3hHUgwB3fbWJSjWx_puTnrtJZJEkg.JPEG/900%EF%BC%BF20251102%EF%BC%BF171750.jpg?type=w80_blur|||https://postfiles.pstatic.net/MjAyNTExMDJfMTMz/MDAxNzYyMDcyMjM5OTc4.UuqDZRnMdIUxi5b-wdQJ81ByiX8yiuaRL2HdSzkOp0sg.ESStbGH7JnNKiDUzvGkSiZR7gjHYdA5A4eq9yDegN_Yg.JPEG/900%EF%BC%BF20251102%EF%BC%BF171757.jpg?type=w80_blur|||https://postfiles.pstatic.net/MjAyNTExMDJfMzcg/MDAxNzYyMDcyMjM5OTc1.NLoFSMKv_1_YbYFhoxuWYg3GuxakFWKuXRDPBCtwq98g.ONBSUvJ3E2k_EqbojzlkrbnqXGjRoy4uP2GQIpnJ300g.JPEG/900%EF%BC%BF20251102%EF%BC%BF171817.jpg?type=w80_blur|||https://storep-phinf.pstatic.net/motion2d_01/original_4.png?type=p100_100|||https://postfiles.pstatic.net/MjAyNTExMDJfMTMx/MDAxNzYyMDcyMjQyMDE5.ZtsXryPG2dx8MUbEV_mJNb4VIita4iF1icoXMDtG03gg.lw2WsrMTt9n_LB6jawxam54BGyqnJrtbRSMoBtwcRIkg.JPEG/900%EF%BC%BF20251102%EF%BC%BF171823.jpg?type=w80_blur|||https://postfiles.pstatic.net/MjAyNTExMDJfMjM1/MDAxNzYyMDcyMjQxMDc1.p2q3SndyQh16-wm9Q8H-2DEiHRcekyd7QTe7K30e-uog.LUKYS6E9GlYgfPHQe7y2iusfCguPU5RkUs4Pymq0Tjwg.JPEG/900%EF%BC%BF20251102%EF%BC%BF171831.jpg?type=w80_blur|||https://postfiles.pstatic.net/MjAyNTExMDJfMjEg/MDAxNzYyMDczODk0OTI0.8_uzu7ozjhXanT8jeOPQyRxbCO_3e2yJ_jFFBa_sDpEg.-eOAk0pEeZ2t6BuDgBJwQbO8ykAOZujWzvDhaR-20n4g.JPEG/SE-361a0e02-b7c6-11f0-b782-e5c1323bf68b.jpg?type=w80_blur|||https://postfiles.pstatic.net/MjAyNTExMDJfOTEg/MDAxNzYyMDc0MzkyNzg0.xbxba3X98KJAHa8mTUplFGjGO6MrZ7LMgKdiwAlEUDYg.2tJyNakuvCAf-KuCzteoyxmuxnk4Lf0WrVnXOO8Ujakg.JPEG/SE-1f493bd2-19b5-4cd7-88ff-5b060bd1108a.jpg?type=w80_blur|||https://postfiles.pstatic.net/MjAyNTExMDJfMjEy/MDAxNzYyMDc1NjY3OTg3.EaG3ugnM8Ck2SIGR8HKmVL2RM9Cod_KMwd-J-9dVnFcg.aOm--hGVsjUMKde_PyU34Vj-IusSG_QF38XiGUvsidkg.JPEG/900%EF%BC%BF1762059734958.jpg?type=w80_blur|||https://postfiles.pstatic.net/MjAyNTExMDJfOTAg/MDAxNzYyMDc1NjY3OTcx.PHI19rMlverPktRPThJyd23RqICWez7hV8RyAGOso30g.8H27N0k6Qi46evWk1O4weYIcsNnAosDkEESe2CtuaG0g.JPEG/900%EF%BC%BF1762059737640.jpg?type=w80_blur|||https://postfiles.pstatic.net/MjAyNTExMDJfMjcw/MDAxNzYyMDc1NjY4MDA1.BkZLrhe4cI-k7WHO972Z7FS_cGb21_OwOdeFl4Jfp_Yg.VkGTSj8Tqj59RO06yTYu5bwBK-EBVkP5HMe0nuyuQ7wg.JPEG/900%EF%BC%BF1762052845734.jpg?type=w80_blur|||https://storep-phinf.pstatic.net/motion2d_01/original_2.png?type=p100_100|||https://postfiles.pstatic.net/MjAyNTExMDJfMzQg/MDAxNzYyMDc1Nzk2OTM4.UTefBU6fQkN25tzjKY1AGN1hnO33shkwtUQ4IH1c9Qwg.nOeH6hb5C7E6R3tB9gEl8z_wK2DM58PW2q45YJsblnIg.JPEG/900%EF%BC%BF1723809592948%EF%BC%8D0.jpg?type=w80_blur</t>
  </si>
  <si>
    <t>물양은</t>
  </si>
  <si>
    <t>010-5295-0067</t>
  </si>
  <si>
    <t>PMI KOREA 7주년 액션팩 프로모션 : 네이버 블로그</t>
  </si>
  <si>
    <t xml:space="preserve">#독일피엠 #피엠사업 #위너비 #다이어트시장 #투잡 #탑쉐이프 #천연 #독일GMP #TUV인증 #도핑프리 #7일다이어트 #위고비 #비만치료 #비만 #대사질환 #소아비만 #식욕억제 #다이어트 #범계피엠 #평촌피엠 #안양피엠... </t>
  </si>
  <si>
    <t>blog.naver.com/park_inje</t>
  </si>
  <si>
    <t>https://blog.naver.com/park_inje/224062060729</t>
  </si>
  <si>
    <t>park_inje</t>
  </si>
  <si>
    <t>안녕하세요,
PMI KOREA 공식 팀파트너 박인제입니다.
쌀쌀한 날씨에 건강 관리 잘 하고 계신가요? 가을이 짧다지만 올 가을은 유독 짧게 느껴지네요.
오늘 소식은 혜택이 엄청나니 꼭 꼼꼼히 읽어주세요!
매년 5월과 11월, 일 년에 두 번뿐인 최고의 프로모션, 액션팩 판매가 바로 어제 11/1 시작되었습니다.
액션팩은 아침 혹은 식사 대용으로 드실 수 있는 종합비타민(유산균과 식이섬유 포함) 파워칵테일과 저녁에 잠자기 전 마시는 미네랄 주스인 리스토레이트가 각각 5박스인 세트 구성이에요.
저희집은 어린이 둘 포함 4인 가족인데, 남편과 저 각각 오토십 구독중이지만 아이들도 하루 한 포씩 먹기 때문에 5월과 11월 액션팩 프로모션 때 무조건 구매합니다. 어린이들용 따로 사지 않아도 되어 좋고, 최저가 혜택 야무지게 이용하면 이보다 더 좋을 수가 없죠!
2025년 11월엔 특별히 한국 오픈 7주년을 맞아 엄청난 혜택을 회사가 예고했었는데요. 바로 어제 당일 그 내용이 공개되었습니다.
액션팩 두 세트 구매시 본품을 두 개씩 더 증정한다는 건데요! 각각 12개를 받아보시는 거예요. 게다가 더블 증정이라 네 세트 구매하면 네 개가 더 가는 식입니다.
귤 껍질처럼 혜택이 소복한 7주년 액션팩!
사업 이후 이런 혜택은 처음이라 어제 프로모션 첫 날부터 제 핸드폰이 말 그대로 불이 났어요. 매니아 고객님들께 소식 전하고 구매 도와드리고 또 소개해주신 분들 가입도 도와드리느라 토요일이 후딱 가버렸지 뭐예요.
56가지 과일야채곡물을 한 끼에 다 먹을 수 있을까요?
사는 것도 손질하는 것도 보관하는 것도 조리하는 것도 일일 거예요. 게다가 전부 유기농으로 구입하려면 금액도 만만치 않겠죠. 엄마의, 아내의 하루는 식사준비가 전부가 아니기도 하구요.
물만 있으면 언제든 뜯어 타고 흔들어 마시는 영양제.
차에서도 사무실에서도
공복에도 자기 전에도 부담 없이 마실 수 있는 것.
여러분의 아침 시간이 얼마나 절약될까요?
기분 좋은 아침은 나의 하루에 어떤 영향을 미칠까요?
아침을 채우고 저녁엔 온전한 쉼으로 위안 받아보세요
댓글, 문자 메시지, 전화 모두 가능합니다.
#독일피엠 #피엠사업 #위너비 #다이어트시장 #투잡
#탑쉐이프 #천연 #독일GMP #TUV인증 #도핑프리
#7일다이어트 #위고비 #비만치료 #비만 #대사질환
#소아비만 #식욕억제 #다이어트 #범계피엠 #평촌피엠
#안양피엠 #안산피엠 #의왕피엠 #광명피엠 #어린이영양제 #피엠주스 #다단계 #인셀덤 #뉴스킨 #레버리지 #온라인건물주 #워킹맘 #안산 #산본 #인덕원 #과천 #광명</t>
  </si>
  <si>
    <t>#독일피엠, #피엠사업, #위너비, #다이어트시장, #투잡, #탑쉐이프, #천연, #독일GMP, #TUV인증, #도핑프리, #7일다이어트, #위고비, #비만치료, #비만, #대사질환, #소아비만, #식욕억제, #다이어트, #범계피엠, #평촌피엠, #안양피엠, #안산피엠, #의왕피엠, #광명피엠, #어린이영양제, #피엠주스, #다단계, #인셀덤, #뉴스킨, #레버리지, #온라인건물주, #워킹맘, #안산, #산본, #인덕원, #과천, #광명</t>
  </si>
  <si>
    <t>https://postfiles.pstatic.net/MjAyNTExMDJfMjM1/MDAxNzYyMDcwOTA4NDUz.RgV6sn80quRqvWBjqdnY_3HofCYgXC1mRZ8gno7S14kg.Ti2g0refaOuBz_1JQrpQtiSgxegza0l55iuOTJOLmxQg.JPEG/3351E7FA%EF%BC%8D6BCC%EF%BC%8D430F%EF%BC%8DB69A%EF%BC%8DCE27D10ABA41.jpg?type=w966|||https://postfiles.pstatic.net/MjAyNTExMDJfNTgg/MDAxNzYyMDcxNTA0MTQ5.D21EnNUgx5sEU-3JZDR4ON2tSrqMC42nbJjELhYqA1Yg.viDPuoDqbXJzKrhIbs1U3JRHLB4-tmPu-EuisI5VwQkg.JPEG/output%EF%BC%BF3758514451.jpg?type=w80_blur|||https://postfiles.pstatic.net/MjAyNTExMDJfMjgy/MDAxNzYyMDcwOTA2NTM0._LWd9U2FGS52ahyilpQJUtVy6uLHmI3IQOEYBxjfvk0g.kDBOEzJX5FctrQAx1WpTv7o_91_SbYn_f9R6pqt68asg.JPEG/C925E54B%EF%BC%8D0B4D%EF%BC%8D4BA2%EF%BC%8D9875%EF%BC%8DB6575ABD7A02.jpg?type=w80_blur|||https://postfiles.pstatic.net/MjAyNTExMDJfNyAg/MDAxNzYyMDcwOTA3MDg3.jHUJc52ifJ5vhDpp-kE9Ydijm4gnipMRq_jIz2cDHI8g.TCcO4pZ4TFSPYPZx_RAJx-72vXuyzglueNF6ph_1ObIg.PNG/BEST_PROMOTION_EVER.png?type=w80_blur|||https://postfiles.pstatic.net/MjAyNTExMDJfNjAg/MDAxNzYyMDcwOTA4MTk4.Cm1auSEGZO4CueojcFnGlCy95qZ0LzUcSwYzoGZKclIg.xhseZnSGJCqipzTIvbva6LBL7f5dbtFrGSJf9JIEuSAg.JPEG/193E9732%EF%BC%8D372C%EF%BC%8D4DCD%EF%BC%8DB5BD%EF%BC%8D7D2DE8351A3F.jpg?type=w80_blur|||https://postfiles.pstatic.net/MjAyNTExMDJfMjcz/MDAxNzYyMDcwOTA3OTE3.DQSK7Rwpoka3ou3ZJvmSiDvgtee2zPljgtvlcwihr8Ug.AtvOLUK7TmmPxh1gTtakUgu3rT0MC4rnVHsQzUoob5Qg.JPEG/389515FA%EF%BC%8D2D7B%EF%BC%8D4D3B%EF%BC%8DA824%EF%BC%8D9115EAD54A58.jpg?type=w80_blur|||https://postfiles.pstatic.net/MjAyNTExMDJfMjU0/MDAxNzYyMDcwOTA2NjE4.dEnDmvqse1LRRkLsnoEEVJYuRxG6LAC_L8UDJg4WJeYg.LeCGEPU9OmkHHvB5ocSrnfG_7GZK6MUY6UGNfo0jE88g.JPEG/IMG%EF%BC%BF4306.jpg?type=w80_blur|||https://postfiles.pstatic.net/MjAyNTExMDJfMjcx/MDAxNzYyMDcwOTA2Njcz.2h7ErVJAOS16DyXuWBGaor_Q8XUluQ1xF9fdzKvw2fog.Cp0nbREJvNOsRtq6YvU9UDy2B1rLyu9TF268fZCsiZ4g.JPEG/IMG%EF%BC%BF2807.jpg?type=w80_blur|||https://postfiles.pstatic.net/MjAyNTExMDJfMTcz/MDAxNzYyMDcwOTA4MjU2.KujDC667QWDqQS5ST8jtb84qF87t0Sgxm7NE3u-3WtYg.3NYNLSaP5-wM9kVV8fnbieXgVuALPiFLjzY8_sDKZ7Mg.PNG/%EC%99%84%EB%B2%BD%ED%95%9C_7%EC%9D%BC%EC%9D%98_%EA%B2%BD%ED%97%98_%EF%BC%8D_1.png?type=w80_blur|||https://postfiles.pstatic.net/MjAyNTExMDJfNDMg/MDAxNzYyMDcwOTA4Mzg0.Pm45KBaTaEX69gLavOVpmeEsMD6DanXC8h7iTgaMDYEg.0mzYU88yEICuTZlySVIxMfb0qW4laDt9_fVBN7YfXjog.PNG/%EC%99%84%EB%B2%BD%ED%95%9C_7%EC%9D%BC%EC%9D%98_%EA%B2%BD%ED%97%98_%EF%BC%8D_2.png?type=w80_blur|||https://postfiles.pstatic.net/MjAyNTExMDJfMjg4/MDAxNzYyMDcwOTA3NTUz._j96pdxf6_zvvWLNNyFhMrilLqUafMC_0BH2f13u8eIg.0KHXSSvJtK9OxlZT3L48vSoGRni3xxtakJpJfSMsQT0g.PNG/%EC%99%84%EB%B2%BD%ED%95%9C_7%EC%9D%BC%EC%9D%98_%EA%B2%BD%ED%97%98_%EF%BC%8D_3.png?type=w80_blur|||https://postfiles.pstatic.net/MjAyNTExMDJfMTMg/MDAxNzYyMDcwOTA3NzY5.m-7LBFIXmKiWb2ovaQS55w59LuLZe_axom_zHdRIcfgg.VQw7ZITLnf8CmKMY78w6F-V6sk9GxMvsucnBzPtJLasg.PNG/%EC%99%84%EB%B2%BD%ED%95%9C_7%EC%9D%BC%EC%9D%98_%EA%B2%BD%ED%97%98_%EF%BC%8D_4.png?type=w80_blur|||https://postfiles.pstatic.net/MjAyNTExMDJfMTQ4/MDAxNzYyMDcwOTA3Njc1.tCRAWBgP66T45F0pbMQ1ddbp6uCyZfsAcUVIU0eOq_wg.maNqw4E2n1JK94Bij-5xHa7M_wXKKNj38AmCvRJbr84g.PNG/BEST_PROMOTION_EVER_%EF%BC%8D_10.png?type=w80_blur|||https://postfiles.pstatic.net/MjAyNTExMDJfMTU5/MDAxNzYyMDcwOTA4Mzg2.J6BffvklM7WfMtqwtWmWbBZM9CDL18IkD7UO_nzjAlMg.qu0H9F5W3tyr-iQi8TfZ7MaaOoA3Fel37tFnGu44Y9Yg.PNG/BEST_PROMOTION_EVER_%EF%BC%8D_11.png?type=w80_blur|||https://postfiles.pstatic.net/MjAyNTExMDJfODUg/MDAxNzYyMDcwOTA4MzU3._nGeXU0ek3rkUsqj_oG6FIpNkUtvJiLa38J1PDFNz6Eg.EedrO5Im_wbnP-xgPU7ZLbQpKCSa6lXxXmOvXWjuUjAg.PNG/PM_International_%EF%BC%8D_12.png?type=w80_blur</t>
  </si>
  <si>
    <t>해주신</t>
  </si>
  <si>
    <t>액티바이즈 : 네이버 블로그</t>
  </si>
  <si>
    <t>드링크 대신 액티바이즈 혈압,콜레스테롤,혈관 건강이 걱정된다면 pick! 나노 미셀화 기술로 흡수율을 극대화 영양을 더 깊고 빠르게 전달 #독일피엠주스 #액티바이즈 #비타민B군#건강#다이어트 제품문의/샘플문의</t>
  </si>
  <si>
    <t>blog.naver.com/zoom0719</t>
  </si>
  <si>
    <t>https://blog.naver.com/zoom0719/224061976713</t>
  </si>
  <si>
    <t>zoom0719</t>
  </si>
  <si>
    <t>피로회복 에너지가 필요하다면
피곤한 직장인,주부,학생,운동매니아
커피대신 뇌를 깨우는 과학
학생들의 집중력이 필요할때 뇌 풀 가동 부스터
에너지 드링크 대신 액티바이즈
혈압,콜레스테롤,혈관 건강이 걱정된다면 pick!
AI 활용
나노 미셀화 기술로 흡수율을 극대화 영양을 더 깊고 빠르게 전달
액티바이즈＆리스토레이트 데몬 실험
재생
2
좋아요
0
00:34
AI 활용
액티바이즈＆리스토레이트 데몬 실험
#독일피엠주스 #액티바이즈 #비타민B군#건강#다이어트
제품문의/샘플문의
피엠 종합비타민 연구소
피엠에대해 궁금하신분들의 질문과대화방
open.kakao.com</t>
  </si>
  <si>
    <t>#독일피엠주스, #액티바이즈, #비타민B군, #건강, #다이어트</t>
  </si>
  <si>
    <t>https://postfiles.pstatic.net/MjAyNTExMDJfMTUy/MDAxNzYyMDY0NTU5MTk1.rvHIHuuHvjZxfLYMjxC5dpKB7X7q2LHsuvg8Y0crY6Ag.EY9Wf1mUqDvEs3rh2tkA_cs-nkpEKqLxra6JWQuugycg.JPEG/900%EF%BC%BF1762064045861.jpg?type=w773|||https://postfiles.pstatic.net/MjAyNTExMDJfNjEg/MDAxNzYyMDY0NTYwNDk3.GLjXLPVWPUJlLgPmGmRx7PWOBJQjDtHmf19teQ1niO4g.efQ5WyGVMzriofW5u3N6h995-V9L6UmUTBZdmrNaftYg.JPEG/900%EF%BC%BFScreenshot%EF%BC%BF20251101%EF%BC%BF225904%EF%BC%BFNAVER.jpg?type=w80_blur|||https://postfiles.pstatic.net/MjAyNTExMDJfMzQg/MDAxNzYyMDY0NTU5MzI4.zbLkUOWKRHG9VJD9hwCO-Cxuu86Tlja6gY4aRNiM7sYg.mGabl_ogoWIAg_m6FrpVtIs4g_hjRRhJ8yzi9WYAInsg.JPEG/900%EF%BC%BFScreenshot%EF%BC%BF20251101%EF%BC%BF225926%EF%BC%BFNAVER.jpg?type=w80_blur|||https://postfiles.pstatic.net/MjAyNTExMDJfMjU4/MDAxNzYyMDY0NTU5MDA3.1Whw-ZvZcY4MR4h82pSGEnw3gUMHQh6cRBGv5YVSc7Ag.gMAHF6_jixK60qhBQS8GBSO6dHpKzaSnKk984M-lUU4g.JPEG/900%EF%BC%BF1762063977886.jpg?type=w80_blur|||https://postfiles.pstatic.net/MjAyNTExMDJfMjcg/MDAxNzYyMDY0NTYwMDY5.xBVX_wqe_jqnHJoBIdBD5Yhja0EjjQikvp3zyZSRgmYg.zptu2Ovfzej1YX_XbxhOL4k8ahK7BepSjKviPqR7Txkg.JPEG/900%EF%BC%BF1762063987935.jpg?type=w80_blur|||https://postfiles.pstatic.net/MjAyNTExMDJfOTcg/MDAxNzYyMDY0NTU5MjMw.RmjGe3911bDQxYG9DtL34yp8m4HOIvGS0Ye4BRfdns8g.yKqqzA2lzW6XlOcHA52bwjHq8aEx4Yd7qFC1y-pZrYQg.JPEG/900%EF%BC%BF1762063952884.jpg?type=w80_blur|||https://postfiles.pstatic.net/MjAyNTExMDJfMjcw/MDAxNzYyMDY0NTYwMzcz.gL3dfUaBLmaDU59_UBdroF7D2Yn86fPmzn1V_6YpY6Mg.C4kEV_v2WeuC2Z2nOhnO-lwzvQ4w_wclLaZbU9L3zWgg.JPEG/900%EF%BC%BF1762064002606.jpg?type=w80_blur|||https://dthumb-phinf.pstatic.net/?src=%22https%3A%2F%2Fiopen.kakaocdn.net%2Fimg%2Fog%2Fv2%2Fko_scrap_sv_003.png%22&amp;type=ff500_300</t>
  </si>
  <si>
    <t>아침 종합비타민 : 네이버 블로그</t>
  </si>
  <si>
    <t xml:space="preserve">#천연추출 에너지 포뮬러 #안전한 공증 #검증된 성분 #물보다 빠른 흡수력 #독일피엠주스 #파워칵테일 현대인은 바쁜 스케쥴과 잦은외식으로 음식섭취는 많지만 제대로된 영양소섭취가 부족합니다. 피엠 3종과... </t>
  </si>
  <si>
    <t>https://blog.naver.com/zoom0719/224061931155</t>
  </si>
  <si>
    <t>종합영양제 아침1포로 시작~!!
온가족이 아침을 종합영양제로 활력있는 아침 시작~!!
유산균과 식이섬유 효소로 화장실 출근 100 %
속이 트이니 인생도 트인다~!!
#천연추출 에너지 포뮬러 #안전한 공증 #검증된 성분
#물보다 빠른 흡수력
#독일피엠주스 #파워칵테일
AI 활용
현대인은 바쁜 스케쥴과 잦은외식으로 음식섭취는 많지만 제대로된 영양소섭취가 부족합니다.
피엠 3종과 함께 건강한 식습관을 만들어봐요
문의
피엠 종합비타민 연구소
피엠에대해 궁금하신분들의 질문과대화방
open.kakao.com</t>
  </si>
  <si>
    <t>#천연추출, #안전한, #검증된, #물보다, #독일피엠주스, #파워칵테일</t>
  </si>
  <si>
    <t>https://postfiles.pstatic.net/MjAyNTExMDJfMTMy/MDAxNzYyMDYwODg0NjY1.uVO-lbzKR4YHvKOhDA2sQvceD670uVSFhOibFokZvuog.pWPiH17lII7wKyHHg-P2IBjNBbOLc21IgOed--Kg4XQg.JPEG/900%EF%BC%BFScreenshot%EF%BC%BF20251101%EF%BC%BF163332%EF%BC%BFNAVER.jpg?type=w80_blur|||https://postfiles.pstatic.net/MjAyNTExMDJfMjU2/MDAxNzYyMDYwODg0NTY4.jngTLLHiqW4ncTEIHki7jq6nByDbFIhf99Ic_myU0CYg.UBOHcIc_SZ3UoVWaVNlyaeW-_qgCEoSzaT-GpzGZtlMg.JPEG/900%EF%BC%BFScreenshot%EF%BC%BF20251101%EF%BC%BF163343%EF%BC%BFNAVER.jpg?type=w80_blur|||https://postfiles.pstatic.net/MjAyNTExMDJfMTk4/MDAxNzYyMDYwODg0NDY3.2NvZTo-PHT9fM1wKwa0Kc9kuMi6Z1b-AB0tKtXx5yqIg.X6C876YHkkHz0uHTjevJsaj76sw0y-w38MW3GZZ7Y8kg.JPEG/900%EF%BC%BFScreenshot%EF%BC%BF20251101%EF%BC%BF163405%EF%BC%BFNAVER.jpg?type=w80_blur|||https://postfiles.pstatic.net/MjAyNTExMDJfMjA3/MDAxNzYyMDYwODg0NDY2.pilq98QfYWZpRQsNGunuC0PlqOASglAcwhXyntXFSh8g.7WL8O8dgnE__nOgPyHerr0Tk-hP3ggioIRnqFjpmPEcg.JPEG/900%EF%BC%BFScreenshot%EF%BC%BF20251101%EF%BC%BF163350%EF%BC%BFNAVER.jpg?type=w80_blur|||https://dthumb-phinf.pstatic.net/?src=%22https%3A%2F%2Fiopen.kakaocdn.net%2Fimg%2Fog%2Fv2%2Fko_scrap_sv_003.png%22&amp;type=ff500_300</t>
  </si>
  <si>
    <t>2025. 11월. 세계... 글로벌 기업, .. : 네이버블로그</t>
  </si>
  <si>
    <t xml:space="preserve">6 미국 NASDAQ 68 PM 필립 모리스 인터내셔널 323.8 미국 NYSE 69 SHEL 쉘 ADR 312.0 미국 NYSE 70 APP 앱플로빈 310.7 미국 NASDAQ 71 ABT 애보트 래보라토리 309.8 미국 NYSE 72 MRK 머크 앤... </t>
  </si>
  <si>
    <t>blog.naver.com/quando_quando_</t>
  </si>
  <si>
    <t>https://blog.naver.com/quando_quando_/224062246367</t>
  </si>
  <si>
    <t>quando_quando_</t>
  </si>
  <si>
    <t>세계의 여러 기업들..
그 중 시가 총액 상위 35개 기업.
환율은 1,400원으로,
단순 계산.
순위
기업명
시가 총액
(한화 조원)
국가
1
NVIDIA
엔비디아
6,860
미국
2
Apple
애플
5,600
미국
3
Microsoft
마이크로소프트
5,320
미국
4
Alphabet
알파벳, 구글
4,760
미국
5
Amazon
아마존
3,640
미국
6
Broadcom
브로드컴
2,380
미국
7
Saudi Aramco
사우디 아람코
2,380
사우디
아라비아
8
Meta Platforms
메타
2,240
미국
9
TSMC
대만 반도체
2,240
대만
10
Tesla
테슬라
2,100
미국
11
Berkshire Hathaway
버크셔 해서웨이
1,400
미국
12
JP Morgan Chase
JP모건 체이스
1,198
미국
13
Walmart
월마트
1,129
미국
14
Eli Lilly
일라이 릴리
1,083
미국
15
Oracle
오라클
1,048
미국
16
Tencent
텐센트
1,036
중국
17
Visa
비자
922.2
미국
18
Mastercard
마스터카드
694.0
미국
19
Exxon Mobil
엑슨모빌
682.5
미국
20
Palantir
팔란티어
665.8
미국
21
Samsung Electronics
삼성전자
664.7
한국
22
Netflix
넷플릭스
663.7
미국
23
Johnson &amp; Johnson 존슨앤드존슨
637.0
미국
24
AMD
581.8
미국
25
Alibaba
알리바바
579.9
중국
26
ASML
575.5
네덜란드
27
Costco
코스트코
565.5
미국
28
Bank of America
뱅크 오브 아메리카
548.5
미국
29
Agricultural Bank of China 중국농업은행
539.4
중국
30
AbbVie
애브비
539.3
미국
31
Home Depot
홈디포
528.9
미국
32
ICBC
중국공상은행
511.6
중국
33
LVMH
루이비통 모에 헤네시
497.6
프랑스
34
Procter &amp; Gamble P&amp;G
프록터 앤 갬블
492.0
미국
35
General Electric GE
제네랄 일렉트릭
456.3
미국
3경 7,980조 원.
[삼성이 29위,
어디선 25위,
여기선 21위.. ]
평가 단체에 따라
디테일의 차이는 나지만...
순위는 나름 일관적이다.
미국, 아시아(한국, 일본, 중국, 홍콩)..
글로벌, 기업들 시가 총액
상위 200. 순위.
순위
기업명
시총
(조원)
국가
1
NVDA
엔비디아
7,090
미국
NASDAQ
2
AAPL
애플
5,755
미국
NASDAQ
3
MSFT
마이크로소프트
5,545
미국
NASDAQ
4
AMZN
아마존닷컴
3,761
미국
NASDAQ
5
GOOGL
알파벳 Class A
2,698
미국
NASDAQ
6
AVGO
브로드컴
2,515
미국
NASDAQ
7
META
메타
2,355
미국
NASDAQ
8
TSM
타이완 반도체 매뉴팩처링 ADR
2,245
미국
NYSE
9
04338
마이크로소프트
2,205
홍콩
HONG_
KONG
10
GOOG
알파벳 Class C
2,196
미국
NASDAQ
11
TSLA
테슬라
2,188
미국
NASDAQ
12
JPM
제이피모간체이스
1,233
미국
NYSE
13
LLY
일라이 릴리
1,175
미국
NYSE
14
WMT
월마트
1,162
미국
NYSE
15
ORCL
오라클
1,079
미국
NYSE
16
00700
텐센트
1,068
홍콩
HONG_
KONG
17
80700
텐센트 (CNY)
981.1
홍콩
HONG_
KONG
18
BRK.B
버크셔 해서웨이 Class B
948.5
미국
NYSE
19
V
비자
942.1
미국
NYSE
20
MA
마스터카드
714.3
미국
NYSE
21
XOM
엑슨 모빌
702.4
미국
NYSE
22
PLTR
팔란티어 테크놀로지스
685.0
미국
NASDAQ
23
NFLX
넷플릭스
683.1
미국
NASDAQ
24
JNJ
존슨앤드존슨
655.6
미국
NYSE
25
005930
삼성전자
642.1
한국
KOSPI
26
AMD
AMD(어드밴스드 마이크로 디바이시스)
598.8
미국
NASDAQ
27
ASML
ASML 홀딩 ADR
591.6
미국
NASDAQ
28
BABA
알리바바 그룹 홀딩스 ADR
586.0
미국
NYSE
29
09988
알리바바
584.4
홍콩
HONG_
KONG
30
COST
코스트코 홀세일
582.0
미국
NASDAQ
31
BAC
뱅크오브아메리카
564.5
미국
NYSE
32
ABBV
애브비
555.0
미국
NYSE
33
HD
홈디포
544.4
미국
NYSE
34
89988
알리바바 (CNY)
537.3
홍콩
HONG_
KONG
35
BRK.A
버크셔 해서웨이 Class A
535.4
미국
NYSE
36
601288
농업은행
514.3
중국
SHANGHAI
37
PG
P&amp;G(프록터 &amp; 갬블)
506.3
미국
NYSE
38
GE
GE 에어로스페이스
469.6
미국
NYSE
39
CVX
셰브론
465.3
미국
NYSE
40
7203
토요타자동차
463.5
일본
TOKYO
41
UNH
유나이티드헬스 그룹
445.8
미국
NYSE
42
SAP
SAP ADR
437.0
미국
NYSE
43
KO
코카콜라
427.1
미국
NYSE
44
601398
ICBC(중국공상은행)
424.5
중국
SHANGHAI
45
CSCO
시스코 시스템즈
415.1
미국
NASDAQ
46
IBM
IBM(인터내셔널 비지니스 머신)
414.0
미국
NYSE
47
000660
SK하이닉스
410.5
한국
KOSPI
48
WFC
웰스파고
394.7
미국
NYSE
49
CAT
캐터필러
389.6
미국
NYSE
50
TM
토요타자동차 ADR
383.4
미국
NYSE
51
MS
모간스탠리
375.9
미국
NYSE
52
9984
소프트뱅크 그룹
372.0
일본
TOKYO
53
AZN
아스트라제네카 ADR
368.3
미국
NASDAQ
54
600519
귀주모태주
362.4
중국
SHANGHAI
55
MU
마이크론 테크놀로지
362.0
미국
NASDAQ
56
AXP
아메리칸 익스프레스
358.1
미국
NYSE
57
CRM
세일즈포스
357.2
미국
NYSE
58
HSBC
HSBC 홀딩스 ADR
347.4
미국
NYSE
59
300750
닝더스다이
346.7
중국
SHENZHEN
60
RTX
RTX
344.8
미국
NYSE
61
00005
HSBC 홀딩스
344.8
홍콩
HONG_
KONG
62
GS
골드만삭스
344.4
미국
NYSE
63
00939
CCB(중국건설은행)
343.4
홍콩
HONG_
KONG
64
NVS
노바티스 AG ADR
342.2
미국
NYSE
65
TMUS
T-모바일 US
338.5
미국
NASDAQ
66
00941
차이나 모바일
327.7
홍콩
HONG_
KONG
67
SHOP
쇼피파이
325.6
미국
NASDAQ
68
PM
필립 모리스 인터내셔널
323.8
미국
NYSE
69
SHEL
쉘 ADR
312.0
미국
NYSE
70
APP
앱플로빈
310.7
미국
NASDAQ
71
ABT
애보트 래보라토리
309.8
미국
NYSE
72
MRK
머크 앤 코
309.5
미국
NYSE
73
TMO
써모 피셔 사이언티픽
308.8
미국
NYSE
74
MCD
맥도날드
306.9
미국
NYSE
75
601857
페트로차이나
299.9
중국
SHANGHAI
76
80941
차이나 모바일 (CNY)
299.7
홍콩
HONG_
KONG
77
RY
로열 뱅크 오브 캐나다
296.5
미국
NYSE
78
04333
시스코 시스템즈
292.4
홍콩
HONG_
KONG
79
DIS
월트 디즈니
291.8
미국
NYSE
80
UBER
우버
289.9
미국
NYSE
81
601138
부사강산업인터넷
289.3
중국
SHANGHAI
82
PEP
펩시코
287.9
미국
NASDAQ
83
ANET
아리스타 네트웍스
285.6
미국
NYSE
84
LRCX
램 리서치
285.0
미국
NASDAQ
85
LIN
린드
282.6
미국
NASDAQ
86
QCOM
퀄컴
281.0
미국
NASDAQ
87
PDD
핀둬둬 ADR
275.9
미국
NASDAQ
88
NOW
서비스나우
275.5
미국
NYSE
89
INTC
인텔
274.6
미국
NASDAQ
90
ISRG
인튜이티브 서지컬
272.9
미국
NASDAQ
91
601988
중국은행
270.9
중국
SHANGHAI
92
INTU
인튜이트
268.2
미국
NASDAQ
93
AMAT
어플라이드 머티어리얼즈
267.6
미국
NASDAQ
94
HDB
HDFC 뱅크 ADR
267.4
미국
NYSE
95
8306
미쓰비시 UFJ 파이낸셜 그룹
263.0
일본
TOKYO
96
C
씨티그룹
260.9
미국
NYSE
97
ARM
암 홀딩스 ADR
259.2
미국
NASDAQ
98
T
AT&amp;T
253.5
미국
NYSE
99
BX
블랙스톤
252.6
미국
NYSE
100
6758
소니 그룹
249.1
일본
TOKYO
101
MUFG
미쓰비시 UFJ 파이낸셜 그룹 ADR
248.1
미국
NYSE
102
SCHW
찰스 슈왑
247.3
미국
NYSE
103
APH
암페놀
245.8
미국
NYSE
104
NEE
넥스트에라 에너지
244.2
미국
NYSE
105
BLK
블랙록
241.9
미국
NYSE
106
VZ
버라이존
241.5
미국
NYSE
107
NVO
노보 노디스크 ADR
239.8
미국
NYSE
108
SONY
소니 그룹 ADR
239.5
미국
NYSE
109
04336
어플라이드 머티어리얼즈
239.3
홍콩
HONG_
KONG
110
BKNG
부킹 홀딩스
235.9
미국
NASDAQ
111
AMGN
암젠
231.6
미국
NASDAQ
112
KLAC
KLA
229.4
미국
NASDAQ
113
GEV
GE 버노바
228.8
미국
NYSE
114
6501
히타치
227.8
일본
TOKYO
115
TJX
TJX 컴퍼니스
224.8
미국
NYSE
116
ACN
액센추어
223.5
미국
NYSE
117
BA
보잉
220.2
미국
NYSE
118
DHR
다나허
219.2
미국
NYSE
119
SAN
방코 산탄데르 ADR
216.7
미국
NYSE
120
BSX
보스턴 사이언티픽
215.0
미국
NYSE
121
PANW
팔로 알토 네트웍스
214.8
미국
NASDAQ
122
GILD
길리어드 사이언스
214.4
미국
NASDAQ
123
ETN
이튼
214.0
미국
NYSE
124
UL
유니레버 ADR
212.7
미국
NYSE
125
SPGI
S&amp;P 글로벌
212.5
미국
NYSE
126
TXN
텍사스 인스트루먼트
211.4
미국
NASDAQ
127
01810
샤오미
208.8
홍콩
HONG_
KONG
128
BHP
BHP 그룹 ADR
208.8
미국
NYSE
129
ADBE
어도비
205.3
미국
NASDAQ
130
PFE
화이자
201.9
미국
NYSE
131
COF
캐피털 원 파이낸셜
201.4
미국
NYSE
132
TD
토론토 도미니언 은행
200.7
미국
NYSE
133
CRWD
크라우드 스트라이크 홀딩스
196.4
미국
NASDAQ
134
SYK
스트라이커
196.3
미국
NYSE
135
TTE
토탈에너지스 ADR
194.2
미국
NYSE
136
SPOT
스포티파이 테크놀러지
193.2
미국
NYSE
137
LOW
로우스 컴퍼니
192.4
미국
NYSE
138
81810
샤오미 (CNY)
192.1
홍콩
HONG_
KONG
139
UNP
유니온 퍼시픽
188.3
미국
NYSE
140
HOOD
로빈후드
187.9
미국
NASDAQ
141
601628
중국생명보험
185.3
중국
SHANGHAI
142
UBS
UBS 그룹 AG
184.7
미국
NYSE
143
04332
암젠
184.7
홍콩
HONG_
KONG
144
HON
허니웰 인터내셔널
184.1
미국
NASDAQ
145
DE
디어
179.8
미국
NYSE
146
WELL
웰타워
179.1
미국
NYSE
147
SNY
사노피 ADR
177.4
미국
NASDAQ
148
PGR
프로그레시브
174.1
미국
NYSE
149
IBKR
인터랙티브 브로커스 그룹
172.3
미국
NASDAQ
150
600036
초상은행
170.7
중국
SHANGHAI
151
MELI
메르카도리브레
170.0
미국
NASDAQ
152
CEG
콘스텔레이션 에너지
169.7
미국
NASDAQ
153
9983
패스트리테일링
168.6
일본
TOKYO
154
MDT
메드트로닉
167.6
미국
NYSE
155
BBVA
방코 빌바오 비스카야 아르헨타리아 ADR
167.0
미국
NYSE
156
PLD
프로로지스
166.1
미국
NYSE
157
ADI
애널로그 디바이시스
166.0
미국
NASDAQ
158
6857
어드반테스트
165.7
일본
TOKYO
159
BN
브룩필드
164.3
미국
NYSE
160
LMT
록히드 마틴
164.0
미국
NYSE
161
00883
시누크
163.3
홍콩
HONG_
KONG
162
SCCO
서던 코퍼
162.4
미국
NYSE
163
BTI
브리티쉬 아메리칸 토바코 ADR
161.1
미국
NYSE
164
COP
코노코필립스
159.9
미국
NYSE
165
06288
패스트리테일링 DRC
159.4
홍콩
HONG_
KONG
166
7974
닌텐도
158.5
일본
TOKYO
167
BUD
안호이저부시 인베브 ADR
157.6
미국
NYSE
168
VRTX
버텍스 파마슈티컬
157.2
미국
NASDAQ
169
CB
처브
157.1
미국
NYSE
170
DASH
도어대시
156.6
미국
NASDAQ
171
DELL
델테크놀로지
156.5
미국
NYSE
172
IBN
ICICI 뱅크 ADR
155.9
미국
NYSE
173
KKR
KKR &amp; Co
151.9
미국
NYSE
174
ADP
오토매틱 데이터 프로세싱
151.9
미국
NASDAQ
175
HCA
HCA 헬스케어
151.2
미국
NYSE
176
8035
도쿄일렉트론
150.7
일본
TOKYO
177
SMFG
스미토모 미쓰이 파이낸셜그룹 ADR
150.4
미국
NYSE
178
8316
스미토모 미쓰이 파이낸셜그룹
150.1
일본
TOKYO
179
80883
시누크 (CNY)
149.7
홍콩
HONG_
KONG
180
SO
서던
149.1
미국
NYSE
181
01299
AIA 그룹
147.0
홍콩
HONG_
KONG
182
7011
미쓰비시중공업
146.8
일본
TOKYO
183
ENB
엔브리지
146.5
미국
NYSE
184
CMCSA
컴캐스트
146.1
미국
NASDAQ
185
MCK
매케슨
145.4
미국
NYSE
186
TT
트레인 테크놀로지
143.4
미국
NYSE
187
CVS
CVS 헬스
142.9
미국
NYSE
188
601088
신화에너지
141.9
중국
SHANGHAI
189
PH
파커-하니핀
140.9
미국
NYSE
190
8058
미쓰비시상사
139.9
일본
TOKYO
191
DUK
듀크 에너지
139.3
미국
NYSE
192
600900
장강전력
139.2
중국
SHANGHAI
193
CME
CME 그룹
137.9
미국
NASDAQ
194
NKE
나이키
137.6
미국
NYSE
195
GSK
GSK
137.0
미국
NYSE
196
MO
알트리아그룹
136.3
미국
NYSE
197
BMY
브리스톨-마이어스 스큅
135.2
미국
NYSE
198
81299
AIA 그룹 (CNY)
134.4
홍콩
HONG_
KONG
199
GD
제너럴 다이내믹스
134.3
미국
NYSE
200
SNOW
스노우플레이크
134.1
미국
NYSE
9경 6886조원
200위.
248
373220
LG에너지솔루션
111.7
323
207940
삼성바이오로직스
87.6
400
005935
삼성전자우
69.5
457
005380
현대차
59.9
478
034020
두산에너빌리티
57.3
498
329180
HD현대중공업
53.7
528
012450
한화에어로스페이스
50.9
566
000270
기아
47.7
589
105560
KB금융
44.8
610
042660
한화오션
42.5
614
035420
NAVER
42.4
640
068270
셀트리온
40.9
671
028260
삼성물산
38.8
뉴욕에 상장한,
신한지주도 있다는 것..
오늘 알았다.</t>
  </si>
  <si>
    <t>https://postfiles.pstatic.net/MjAyNTExMDJfMjI1/MDAxNzYyMDgyNjA2NjA0.R5KcKc_bUg-a-dDqxKTJkltk50GxH9uOkEW3HIzpswwg.60YCiPRbInr1J2g9gsh0AJxIamKcBGv5PXJunvUUR3cg.JPEG/SE-592faf64-6c65-4f0c-98d2-15a6d6110043.jpg?type=w966|||https://postfiles.pstatic.net/MjAyNTExMDJfMTE2/MDAxNzYyMDgzMjgzNjgw.RV8tPa97Mnx9AdX5LceyfaP2Yld9CLuvx-sIdPoKkoAg.vy05vqX4ImamxCVZuTQGO0IMfZ9VQjLlJPHt9cPQdNIg.JPEG/Screenshot_2025-11-02_at_20.34.14.JPG?type=w80_blur</t>
  </si>
  <si>
    <t>2025/11/2 PM 6:00 : 네이버 블로그</t>
  </si>
  <si>
    <t xml:space="preserve">글로벌 결제 네트워크를 운영하는 위버스인터내셔널은 약 400억 원 규모의 XRP를 확보해 결제 인프라용 디지털 자산으로 활용 중이다. 이 가운데 가장 주목받는 사례는 에버노스(Evernorth)로, 약 1조 3,410억... </t>
  </si>
  <si>
    <t>blog.naver.com/dinoman928</t>
  </si>
  <si>
    <t>https://blog.naver.com/dinoman928/224062176689</t>
  </si>
  <si>
    <t>dinoman928</t>
  </si>
  <si>
    <t>DATs 모델, ‘ETF 이후 시대’
글로벌 자산 패러다임 전환의 서막인가
Ⅰ. 서론: ETF 시대의 종말을 알리는 신호
2025년, 디지털 자산 시장은 조용히 거대한 변곡점을 맞이하고 있다.
ARK인베스트의 디지털자산 리서치 담당 로렌조 발렌테(Lorenzo Valente)는 최근 보고서에서 다음과 같이 말했다.
“전통적인 ETF는 모든 디지털 자산에 최적화된 구조가 아니다. 일부 네트워크형 자산의 특성을 감안하면 DATs 구조가 효율성과 유연성 측면에서 더 우수할 수 있다.”
이 발언은 단순한 금융 구조 논의로 들릴 수 있지만, 업계에서는 “ETF 이후 시대의 시작”을 예고하는 신호로 해석된다.
이는 자산의 ‘소유’가 아닌 ‘참여’를 핵심으로 하는 새로운 구조 — DATs (Digital Asset Treasury) 의 등장을 의미한다.
⸻
Ⅱ. 본론: DATs, ‘운용형 구조’로의 전환
1. DATs의 핵심 메커니즘
DATs는 기업이 직접 디지털 자산을 국고(Treasury) 형태로 보유하고, 그 기업의 주식이 시장에서 거래되는 구조다.
스팟ETF와 DATs의 구조적 차이는 ‘누가 자산을 보유하고, 어떻게 운용하느냐’에 있다.
스팟ETF의 경우, 자산을 직접 보유하는 주체는 운용사다. 투자자는 ETF 지수를 통해 간접적으로 디지털 자산 가격에 노출되지만, 운용사는 실제로 자산을 네트워크에 참여시키거나 운용하지 않는다. 즉, ETF는 단순히 자산 가격을 추종하는 비운영형(passive) 구조다. 반면 DATs는 기업 자체가 디지털 자산을 직접 보유하고, 이를 바탕으로 다양한 시장 활동을 수행한다. 기업이 스스로 자산을 운용하고 네트워크에 참여하기 때문에, 본질적으로 운영형(active) 구조를 가진다.
이 차이는 스테이킹 가능성에서도 드러난다. ETF는 규제와 구조상 이유로 직접 스테이킹이 사실상 불가능하지만, DATs는 기업이 보유 자산을 네트워크 검증에 활용할 수 있어 스테이킹을 통해 추가적인 수익을 창출할 수 있다.
수익 구조 또한 단순히 가격 상승에만 의존하지 않는다. ETF는 기초자산의 가격을 그대로 반영하는 단순 추종형 수익 구조를 가지는 반면, DATs는 자산 가치 상승에 더해 네트워크 참여에서 발생하는 수익, 즉 스테이킹 보상이나 온체인 수수료 수익 등 복합적인 현금흐름을 창출할 수 있다.
마지막으로 자본 확장 수단에서도 큰 차이가 있다. ETF는 펀드 구조상 외부 자금 유입에 의존하기 때문에 증자나 사채 발행 같은 능동적 자본 확장 수단이 없다. 반면 DATs는 기업 구조이기 때문에 증자, 사채 발행, 인수합병(M&amp;A)등을 통해 자산을 빠르게 확장할 수 있다.
결국 스팟ETF가 단순히 시장을 ‘추종’하는 수동적 구조라면, DATs는 기업이 자산을 ‘운용하고 확장’하는 능동적 구조다.
DATs는 이 점에서, 디지털 자산을 단순한 투자대상이 아닌 기업 활동의 중심 자산으로 재정의하는 새로운 모델이라 할 수 있다.
결론은 DATs는 ETF처럼 단순히 코인 가격을 ‘추종’하는 것이 아니라, 기업이 블록체인 네트워크의 경제활동에 직접 참여하여 수익을 창출한다는 점에서 본질적으로 다르다.
특히 이더리움(ETH)처럼 스테이킹 가능한 자산은 네트워크 검증 참여 → 스테이킹 보상 → 현금흐름 창출이라는 선순환 구조를 형성한다.
2. 실증 사례: ETH 기반 DAT의 자산 성장
ARK 리서치에 따르면, ETH 기반 DAT 기업 Bitmine Immersion은 한 달 만에 주당 ETH 보유량이 130% 증가했다. 같은 기간 ETH 가격 상승률은 약 60%에 불과했다.
이는 DATs 구조가 단순 ETF보다 두 배 이상 빠른 자산 성장 속도를 보였다는 의미다.
ARK는 이를 “네트워크 수익을 자본성장으로 전환하는 첫 실험적 성공”으로 평가했다.
⸻
Ⅲ. 위험요소: 새로운 구조의 그림자
그러나 DATs는 ‘ETF의 진화형’이기 이전에 기업 리스크를 내포한 하이브리드 자산이다.
• DATs는 mNAV(시장순자산가치) 프리미엄에 의존한다.
→ 주가가 보유 자산가치보다 낮으면 자본확장이 막히고, 토큰 매도 압박으로 전이된다.
• 운영형 구조 특성상, 기업의 재무 건전성과 자본시장 접근성이 동시에 중요하다.
→ 시장 침체기엔 DATs 구조가 “자산-주가-매도”의 악순환에 빠질 수 있다.
• 규제·회계 불확실성이 여전하다.
→ 스테이킹 보상의 회계 처리, 가상자산의 기업 보유 허용범위 등은 국가별로 상이하다.
결국 DATs는 기회와 위험이 공존하는 자산혁명 실험장이다.
⸻
Ⅳ. 글로벌 확산 조짐: XRP 중심의 ‘국고 전쟁’
최근 몇 달 사이, DATs 모델은 기업 차원의 국고(디지털 트레저리) 구축 붐으로 확산되고 있다.
최근 DATs(디지털 자산 국고) 모델을 도입하는 기업들이 급증하고 있다.
싱가포르의 트라이던트디지털은 약 6,670억 원 규모의 XRP를 확보하며 동남아 최초의 대규모 XRP 트레저리를 구축했다.
사우디아라비아의 비보파워는 약 161억 원 규모의 XRP를 보유한 중동 최초의 국영형 DAT로 주목받고 있다.
글로벌 결제 네트워크를 운영하는 위버스인터내셔널은 약 400억 원 규모의 XRP를 확보해 결제 인프라용 디지털 자산으로 활용 중이다.
이 가운데 가장 주목받는 사례는 에버노스(Evernorth)로, 약 1조 3,410억 원 규모의 XRP를 보유하며 미국 나스닥에 ‘XRPN’이라는 티커로 상장했다.
이들 사례는 XRP를 중심으로 한 기업형 디지털 자산 국고 전략이 전 세계적으로 빠르게 확산되고 있음을 보여준다.
⸻
Ⅴ. 한국의 관점: 규제 속 기회
한국은 아직 암호화폐 스팟ETF 미승인국이지만,
상장사 중심의 DATs형 구조는 제도권 안에서도 현실적으로 구현 가능한 대안으로 주목받고 있다.
• 기관투자자 전략 포인트 3가지
1. 스테이킹 기반 현금흐름 창출
2. 자본시장 접근성 유지 + 디지털자산 노출 확대
3. 온체인 활동을 통한 프로토콜 수익 결합
또한 일부 기술기업 및 핀테크 기업은 DATs를 통해
보유 현금을 “전략적 트레저리(Strategic Treasury)” 로 전환하는 실험을 시작하고 있다.
기업이 더 이상 단순히 현금을 보유하지 않는다.
이제 기업은 블록체인 네트워크의 ‘주주’로 진화하고 있다.
⸻
Ⅵ. DATs는 새로운 자산질서의 신호인가
DATs는 단순한 금융상품이 아니다.
이는 “자산 보유의 주체가 개인에서 기업으로, 기업에서 네트워크로 이동하는” 역사적 흐름의 중간지점에 있다.
ARK인베스트가 이 구조를 처음 제안했다는 사실은 의미심장하다.
ETF로 월가의 구조를 뒤흔든 캐시 우드가, 이번에는 “운용 주체의 탈중앙화”를 실험하고 있는 셈이다.
음모론적 관점에서 본다면, DATs는 월가와 실리콘밸리의 “자산권력 재편”의 첫 신호일 수도 있다.
정부가 아닌, 운용사도 아닌, ‘블록체인에 참여하는 기업 네트워크’가 새로운 중앙은행이 되는 시대가 도래할지도 모른다.</t>
  </si>
  <si>
    <t>올랜도 키시미 호텔·숙소 추천, 여행을 위한 .. : 네이버블로그</t>
  </si>
  <si>
    <t xml:space="preserve">체크인/체크아웃 시간 한눈에 보기 체크인 시작시간 - 04:00 PM 체크아웃 마감시간 - 10:00 AM 이... 올랜도 인터내셔널 드라이브 사우스 - 씨 월드 호텔·숙소 추천, 똑똑한 여행을 위한 가성비... </t>
  </si>
  <si>
    <t>blog.naver.com/roomstylist</t>
  </si>
  <si>
    <t>https://blog.naver.com/roomstylist/224062118292</t>
  </si>
  <si>
    <t>roomstylist</t>
  </si>
  <si>
    <t>이 글은 호텔 플랫폼과의 협업을 통해 작성되었습니다. 링크를 통해 예약하시면 추가 비용은 전혀 없으며, 블로거는 소정의 커미션을 받습니다.
미국 플로리다 주에 위치한 올랜도는 세계적으로 유명한 테마파크와 다양한 관광 명소로 가득한 매력적인 도시예요. 특히 키시미 지역은 올랜도의 주요 관광지와 인접해 있어 여행객들에게 인기 있는 숙박 지역입니다. 이 글에서는 올랜도 키시미에서 최고의 숙박 경험을 선사할 인기 호텔 4곳을 엄선하여 소개할게요.
1. 오크 플랜테이션 리조트
Oak Plantation Resort
📍 4090 Enchanted Oaks Circle, 키시미, 올랜도 (FL), 미국, 34741
✨ 이 호텔만의 특별한 하이라이트
다양한 액티비티
온수 욕조
일일 청소 서비스
바(Bar)
피트니스 센터
오크 플랜테이션 리조트는 편안하고 즐거운 휴가를 위한 다양한 편의시설을 제공해요. 객실은 아늑하고 깨끗하며, 필요한 모든 것을 갖추고 있어서 편안하게 쉴 수 있어요. 또한, 호텔 내에는 바, 레스토랑, 실내 수영장, 피트니스 센터 등의 편의시설이 있어서 편리하게 이용할 수 있어요. 특히, 테니스 코트에서 활기찬 시간을 보내거나, 수영장에서 상쾌하게 수영을 즐길 수도 있어요. 아이들을 위한 키즈풀도 마련되어 있어 가족 여행객에게 안성맞춤이에요.
👜 체크인/체크아웃 시간 한눈에 보기
체크인 시작시간 - 04:00 PM
체크아웃 마감시간 - 10:00 AM
이 호텔은 키시미 중심부에 위치해 있어서 주변 관광 명소로 이동하기 편리해요. 호텔 바로 앞에는 셔틀 서비스가 있어서 시내 곳곳을 쉽게 이동할 수 있어요. 또한, Plaza del Sol Kissimmee와 같은 명소도 도보 거리에 있어서 편리하게 관광을 즐길 수 있어요. 호텔 주변에는 Ladue Park, Orange Gardens Community Center, Park Of Dreams와 같은 공원도 있어서 산책이나 휴식을 취하기에도 좋아요. 훌륭한 위치 덕분에 더욱 만족스러운 여행을 즐길 수 있을 거예요.
🗨️ 방문자들이 직접 남긴 솔직한 리뷰
Great Place To Stay In Kissimmee
⭐ 8.8
I would highly recommend Oak Plantation Resort in Kissimmee, Florida. I however would not recommend agoda.com for booking this resort. The price your ...
the resort is beautiful, staff is friendly and helpful. It is a very peaceful area.
⭐ 8.8
There were a few problems with my Apt. ( we had 3 ) but they took care of them right away.
🌻 잊지 못할 여행의 시작, 지금 바로 예약하세요!
2. 하워드 존슨 바이 윈덤 트로피컬 팜스 키시미
Tropical Palms Kissimmee
📍 4311 W VINE ST -HWY 192, 키시미, 올랜도 (FL), 미국, 34746
✨ 이 호텔만의 특별한 하이라이트
다양한 액티비티
위생 PLUS
24시간 프런트 데스크
무료 Wi-Fi (모든 객실)
에어컨
하워드 존슨 바이 윈덤 트로피컬 팜스 키시미는 가족 여행객에게 특히 좋은 선택이에요. 아이들을 위한 키즈풀이 마련되어 있어서 신나는 물놀이를 즐길 수 있어요. 객실은 깨끗하게 관리되어 있으며, 편안한 숙박을 위한 기본적인 편의시설을 갖추고 있어요. 객실에서 휴식을 취하거나, 호텔 내에서 제공하는 다양한 편의시설을 이용하며 즐거운 시간을 보낼 수 있어요.
👜 체크인/체크아웃 시간 한눈에 보기
체크인 시작시간 - 04:00 PM
체크아웃 마감시간 - 11:00 AM
이 호텔은 키시미의 주요 관광지와 가까운 거리에 위치해 있어서 편리하게 여행을 즐길 수 있어요. 192 Flea Market, Give Kids The World Village, The Paddling Center at Shingle Creek 등의 명소가 도보 거리에 있어서 쉽게 방문할 수 있어요. 또한, 올랜도 국제공항까지의 이동 시간은 평균 6분 정도로 매우 가까워서 편리하게 이동할 수 있어요. 아침 식사는 추가 요금을 내면 이용할 수 있으며, 성인 기준 4 USD로 저렴하게 즐길 수 있어요.
🗨️ 방문자들이 직접 남긴 솔직한 리뷰
Great
⭐ 10.0
Great staff and clean
EXCELLENT
⭐ 10.0
NOTHING NEGATIVE ABOUT THIS MOTEL.
🌻 잊지 못할 여행의 시작, 지금 바로 예약하세요!
3. Ramada by Wyndham Hotel &amp; Water Park
📍 2261 E Irlo Bronson Memorial Hwy, 키시미, 올랜도 (FL), 미국, 34744
✨ 이 호텔만의 특별한 하이라이트
다양한 액티비티
무료 Wi-Fi (모든 객실)
에어컨
일일 청소 서비스
바(Bar)
라마다 바이 윈덤 호텔 &amp; 워터 파크는 모든 객실에서 무료 Wi-Fi를 이용할 수 있어서 편리해요. 호텔 내에는 레스토랑, 피트니스 센터, 실외 수영장 등의 편의시설이 있어서 다양한 활동을 즐길 수 있어요. 특히, 워터파크가 있어서 아이들과 함께 신나는 시간을 보낼 수 있다는 점이 큰 장점이에요. 또한, 세탁 서비스도 제공되어서 여행 중에도 깨끗한 옷을 입을 수 있어요.
👜 체크인/체크아웃 시간 한눈에 보기
체크인 시작시간 - 04:00 PM
체크아웃 마감시간 - 11:00 AM
이 호텔은 키시미에 위치해 있으며, 주변에 다양한 관광 명소와 레스토랑이 있어서 편리하게 여행을 즐길 수 있어요. 호텔 근처에는 Fortune Road Complex와 같은 공원이 있어서 산책이나 휴식을 취하기에도 좋아요. 또한, 올랜도 국제공항까지의 거리는 17km로, 차로 이동하면 편리하게 공항에 도착할 수 있어요. 훌륭한 서비스 덕분에 더욱 편안하고 즐거운 여행을 경험할 수 있을 거예요.
🗨️ 방문자들이 직접 남긴 솔직한 리뷰
아이들에게 좋은 선택!
⭐ 9.6
시설은 오래되었지만 관리가 잘 되어있어 깨끗하다는 느낌을 받았어요. 11월 말이라 기온이 높지 않았지만 수온이 적당해서 아이들이 물 속에서 충분히 재미있게 놀 수 있었어요. 물 깊이도 깊지 않아 미취학 아동이 놀기에도 안전했습니다.
가성비 ㄱㅊ
⭐ 8.0
가격은 매우 저렴함 위치도 좋은편 시설이 꽤 낡았고 금고는 작동하지 않았으며 욕조의 수도는 계속 새고있었다. 침대는 무척 편안했고 청결상태는 괜찮았으며 워터파크도 좋아보였는데 겨울의 평일이라그런지 입장불가라 매우 아쉬웠다
🌻 잊지 못할 여행의 시작, 지금 바로 예약하세요!
4. Vacation Villas 2
📍 4999 Kyngs Heath Rd, 키시미, 올랜도 (FL), 미국, 34746-5514
✨ 이 호텔만의 특별한 하이라이트
나홀로 여행객 평점이 높은 숙소
다양한 액티비티
Top Value
익스프레스 체크인/체크아웃
무료 Wi-Fi (모든 객실)
Vacation Villas 2는 3성급 숙소로, 다양한 편의시설을 갖추고 있어서 편안하고 즐거운 숙박을 보장해요. 특히, 어린이 놀이터와 키즈 풀이 있어서 아이들과 함께하는 가족 여행에 안성맞춤이에요. 객실은 깨끗하고 넓으며, 주방 시설이 완비되어 있어서 직접 요리를 해 먹을 수도 있어요. 무료 주차 공간도 마련되어 있어서 렌터카를 이용하는 여행객에게 편리함을 제공해요.
👜 체크인/체크아웃 시간 한눈에 보기
체크인 시작시간 - 04:00 PM
체크아웃 마감시간 - 10:00 AM
체크인 마감 시간 - 11:00 PM
이 호텔은 키시미에 위치해 있으며, 주변에 다양한 관광 명소와 레스토랑이 있어서 편리하게 여행을 즐길 수 있어요. 호텔 주변에는 Ichiban Buffet과 같은 유명 레스토랑이 있어서 맛있는 식사를 즐길 수 있어요. 올랜도 국제공항까지의 거리는 20km이며, 차로 이동하면 편리하게 공항에 도착할 수 있어요. 훌륭한 위치와 다양한 편의시설 덕분에 더욱 만족스러운 여행을 경험할 수 있을 거예요.
🗨️ 방문자들이 직접 남긴 솔직한 리뷰
vacation
⭐ 10.0
The cleanliness of the surroundings, the cleaning of the apartment, was impeccable, the prices for the time we were in the villas was magnificent. the...
Lovely vacation apartment
⭐ 10.0
I am able to walk out on my patio and see the pool. I have a 1st floor apartment, so i can walk to the pool from my patio entrance. Full kitchen wi...
🌻 잊지 못할 여행의 시작, 지금 바로 예약하세요!
🌻 당신을 기다리는 올랜도 호텔 보러가기!
아래 링크를 통해 올랜도의 새로운 호텔 정보를 확인해 보세요.
올랜도 센트럴 플로리다 대학교 호텔·숙소 추천, 여행을 위한 최고의 숙소 Best 3
올랜도 인터내셔널 드라이브 사우스 - 씨 월드 호텔·숙소 추천, 똑똑한 여행을 위한 가성비 숙소 Pick Best 3
올랜도 호텔/리조트·숙소 추천, 똑똑한 여행을 위한 가성비 숙소 Pick Best 6</t>
  </si>
  <si>
    <t>https://postfiles.pstatic.net/MjAyNTExMDJfMzcg/MDAxNzYyMDc1MjQ5Mjcz.BdXsFGmYgWR3AlJkGwhYEJRhvYp5e-5fyWogbknfcTUg.pjYsRvMJ-htXnhVkx6GoVdhj9WugCGAHvHnYLmPKQVEg.JPEG/cee469ce863805ab9e133ab266b61a791.jpg?type=w966|||https://pix8.agoda.net/hotelImages/2194072/-1/366b87ee4be0f249f91d6d84d110097f.jpg?ca=7&amp;ce=1&amp;s=1024x768|||https://pix8.agoda.net/hotelImages/2194072/0/79654a0a8c411854a0893977cea6a318.jpg?ca=7&amp;ce=1&amp;s=1024x768|||https://pix8.agoda.net/hotelImages/2194072/0/06d2fcab5badc40e297ff4cf8504f893.jpg?ca=7&amp;ce=1&amp;s=1024x768|||https://pix8.agoda.net/hotelImages/686649/34465496/a8fae3c2439c6ef20ca601033b20d4bd.jpg?ca=7&amp;ce=1&amp;s=1024x768|||https://pix8.agoda.net/hotelImages/686649/34465497/f43eaf98c8a22c95a2c54dd5f03c5688.jpg?ca=7&amp;ce=1&amp;s=1024x768|||https://pix8.agoda.net/hotelImages/686649/34465497/60dd6dccf8038f9c128bcbb7034b8752.jpg?ca=7&amp;ce=1&amp;s=1024x768|||https://pix8.agoda.net/hotelImages/61742193/960204825/5342a81c0a8fcfbc1f67f77eed9546ec.jpeg?ce=2&amp;s=1024x768|||https://q-xx.bstatic.com/xdata/images/hotel/max1024x768/516400694.jpg?k=2b465bdd24495b7f5f016fcd1856577ecd96a20f433201399bcd6f05a1eb7a79&amp;o=|||https://q-xx.bstatic.com/xdata/images/hotel/max1024x768/92579272.jpg?k=d27d84c6d827187d153ccb452d66d240e729fcca933a23e2d03861252ec04c46&amp;o=|||https://pix8.agoda.net/hotelImages/302180/0/656ccec6d5846eed3690d093f95f5ea4.jpeg?s=1024x768|||https://pix8.agoda.net/hotelImages/302180/-1/6941db9542130f03284ec96a3b128709.jpg?ca=7&amp;ce=1&amp;s=1024x768|||https://pix8.agoda.net/hotelImages/302180/-1/a6d96461ca45c3810d0452a03a88811c.jpg?ca=7&amp;ce=1&amp;s=1024x768</t>
  </si>
  <si>
    <t>할게요</t>
  </si>
  <si>
    <t>[PM 브리핑룸][액션팩 특집] 파워칵테일+리.. : 네이버블로그</t>
  </si>
  <si>
    <t xml:space="preserve">이번 11월 프로모션은 PM인터내셔널코리아 7주년 기념으로 더 파격적인 액션팩 구성으로 돌아왔습니다! 이번에 정말 대용량세트+무료증정 조합이라 솔직히 '이렇게 최저가로 구매할 수 있는 방법은 없다... </t>
  </si>
  <si>
    <t>blog.naver.com/lyungaepm</t>
  </si>
  <si>
    <t>https://blog.naver.com/lyungaepm/224062114392</t>
  </si>
  <si>
    <t>lyungaepm</t>
  </si>
  <si>
    <t>PM 대표 루틴템인 파워칵테일&amp;리스토레이트, 평소에도 꾸준히 찾고 섭취하고 계신 분들 많죠?
PM에서 1년에 딱 2번 액션팩 프로모션 하는 5월, 11월!
이번 11월 프로모션은 PM인터내셔널코리아 7주년 기념으로 더 파격적인 액션팩 구성으로 돌아왔습니다!
이번에 정말 대용량세트+무료증정 조합이라 솔직히 '이렇게 최저가로 구매할 수 있는 방법은 없다','이건 사야한다'라는말이 절로 나올 정도.
저도 이런 구성 처음봤어요...
지금부터 어떤 혜택인지 빠르게 알려드릴게요!
💡 액션팩이 뭐에요?
✔️ PM에서 매년 한정적으로 진행하는 가장 큰 정기 프로모션
✔️ 25년 11월 한 달만 파워칵테일 5 + 리스토레이트 5 구성
✔️올해는 7주년 스페셜 혜택으로 추가증정까지(총 12개 세트 까지 가능)
✅ 액션팩 프로모션 주요 혜택 정리
기본 구성
파워칵테일 5개 + 리스토레이트 5개
스폐셜혜택 (동일한 주민번호로 2세트 이상 주문시)
파워칵테일 2개 + 리스토레이트 2개 무료 증정
즉, 총 12개 구성(10+2)
✅ 이렇게 활용해보세요
가족 모두 함께 섭취해도 부족하지 않을 넉넉한 양
매일 꾸준히 먹는 분이라면 한 번에 여유롭게 쟁여두기 딱
다이어트나 건강루틴 시작 전 필수 기초 템
참고 : 나도 이 구성을 실제로 먹고 잇음
파우치에 쏙 들어가는 구성이라 이동중에도 간편하게 루틴, 섭취 가능!
위의 사진은 제가 실제로 들고다니면서 먹는 구성
요즘 직장에 출근하면서 매일 점심 사먹기 부담스러울 때
🔸 점심 대체용으로 먹거나
🔸 친구, 직장동료에 나눠주거나 나눠 먹거나
🔸 점심시간에 식사 대신 빠르게 루틴할 때 유용함
💡이런 분들께 추천합니다
평소에 파워칵테일/리스토레이트 루틴템으로 드시는 분
가족/지인과 함께 건강 관리 시작하는 분
PM 제품 처음 접하더라도 가격대가 고민되었던 분들
( 이 기회에 시작하기 좋아요💛!)
PM의 가장 대표적인 시그니처 조합인 액션팩구성(파워칵테일+리스토레이트)
이정도 스페셜 혜택이면 솔직히 망설일 이유가 없어요
평소보다 더 알뜰하고 넉넉하게 준비된 11월 한정 프로모션!
재고 소진 전까지 빠르게 참여하시길 추천드릴게요!
저도 지금 먹고 있는 구성이고, 구매할 예정이라 자신있게 소개할 수 있어요!
✔️제품에 대해 더 궁금한 점이나
나에게 맞는 건강 루틴 상담을 받고 싶다면?
👉[간단 건강 문진표 작성하기]
https://forms.gle/y6TCcMPGgmo1qiiY9
루틴디렉터 EJ 하루 루틴 진단표
지금 내 루틴 상태, 얼마나 균형 잡혀있을까? 가볍게 체크해주세요🥰
forms.gle
👉 [ 루틴디렉터 EJ에게 오픈채팅으로 상담하기]
https://open.kakao.com/o/geBA9Osh
루틴디렉터 EJ | 하루 한 잔 루틴상담소
PM 제품이 궁금한 분 어떤 루틴이 필요한지 잘 모르겠는 분 상담 후 가입안내/할인이 필요한 분 여기 루틴디렉터 EJ가 직접 상듬해드리는 공감이에요 부담없이 톡 주세요! 루틴은 간편한게 상담은 진심으로
open.kakao.com</t>
  </si>
  <si>
    <t>https://postfiles.pstatic.net/MjAyNTExMDJfMTYz/MDAxNzYyMDcxNTc1MTI2.KZ1T0RZap8UW8pBFuhTlfnwoAotQZ_1HwSIqURDIvxgg.Do_GlPQsrCtOEWeKUebVJ4Yd0Tu5154z16VZ3e9KwVMg.JPEG/IMG_8150.jpeg?type=w80_blur|||https://postfiles.pstatic.net/MjAyNTExMDJfMTY5/MDAxNzYyMDczOTQzMDE1.tIlEIcqnnFQibygFLaebpeCpMToGw--V--3KFkFBTwEg.fORri3kz25xZPdinvDpFJKbAklWhbd5hUF1nxnVEFyIg.JPEG/SE-31485430-aa68-4baf-8a2f-c9824f2cb0b2.jpg?type=w80_blur|||https://dthumb-phinf.pstatic.net/?src=%22https%3A%2F%2Flh3.googleusercontent.com%2F4LClSpxi91yn1Eipkmc-e1Um0ylfIwz_2GUvENBRNuqxONywIzMToLfQIGgShtAjAki8F-zwzKW8Xg8%3Dw1200-h630-p%22&amp;type=ff120|||https://dthumb-phinf.pstatic.net/?src=%22https%3A%2F%2Fiopen.kakaocdn.net%2Fimg%2Fog%2Fv2%2Fko_scrap_sv_002.png%22&amp;type=ff500_300</t>
  </si>
  <si>
    <t>합니다</t>
  </si>
  <si>
    <t>올랜도 센트럴 플로리다 대학교 호텔·숙소 추천.. : 네이버블로그</t>
  </si>
  <si>
    <t xml:space="preserve">체크인/체크아웃 시간 한눈에 보기 체크인 시작시간 - 03:00 PM 체크아웃 마감시간 - 11:00 AM... 올랜도 인터내셔널 드라이브 사우스 - 씨 월드 호텔·숙소 추천, 똑똑한 여행을 위한 가성비... </t>
  </si>
  <si>
    <t>https://blog.naver.com/roomstylist/224061996756</t>
  </si>
  <si>
    <t>이 글은 호텔 플랫폼과의 협업을 통해 작성되었습니다. 링크를 통해 예약하시면 추가 비용은 전혀 없으며, 블로거는 소정의 커미션을 받습니다.
활기 넘치는 도시, 올랜도! 센트럴 플로리다 대학교 근처에서 잊지 못할 추억을 만들고 싶으신가요? 이 글에서는 편안함과 편리함을 동시에 잡을 수 있는 최고의 숙소들을 소개해 드릴게요. 올랜도의 매력을 만끽하며 편안한 휴가를 즐겨보세요!
1. 베스트 웨스턴 플러스 올랜도 이스트 - Ucf 지역
Best Western Plus Orlando East- Ucf Area
📍 12101 Challenger Pkwy, 센트럴 플로리다 대학교, 올랜도 (FL), 미국, 32826-2706
✨ 이 호텔만의 특별한 하이라이트
나홀로 여행객 평점이 높은 숙소
다양한 액티비티
위생 PLUS
24시간 프런트 데스크
무료 Wi-Fi (모든 객실)
베스트 웨스턴 플러스 올랜도 이스트 - Ucf 지역은 24시간 이용 가능한 피트니스 센터를 [편의시설]로 갖추고 있어, 언제든 원하는 시간에 운동을 즐길 수 있다는 점이 매력적이에요. 객실은 총 70개이며, 훌륭한 청결 상태를 유지하고 있어요. 24시간 피트니스 센터에서 활기찬 하루를 시작하거나, 상쾌하게 수영을 즐길 수 있는 실외 수영장도 [편의시설]로 이용할 수 있어요. 뷔페 레스토랑, 영국식 펍, 티 라운지, 테라스 바, 베이커리 등의 다양한 [편의시설]이 있어서 멀리 나가지 않고도 편리하게 식사를 해결할 수 있어요.
👜 체크인/체크아웃 시간 한눈에 보기
체크인 시작시간 - 03:00 PM
체크아웃 마감시간 - 11:00 AM
이 호텔은 센트럴 플로리다 대학교 근처에 위치해 있어, 대학 방문객에게 특히 편리해요. 주변에는 Pointe at Central's Private Park, Leidos SAIC Recreational Walking Trails, Happy Paws Pet Resort와 같은 공원들이 있어서 산책을 즐기기에도 좋아요. 특히 이 호텔의 위치는 투숙객들로부터 8.71점의 높은 평가를 받을 정도로 훌륭하며, 쇼핑, 레스토랑, Ucf와도 가까워서 위치가 매우 편리해요. 비즈니스 여행객에게는 평균 8.2점의 높은 평점을 받고 있으며, 가족 여행객에게도 인기가 많아요.
🗨️ 방문자들이 직접 남긴 솔직한 리뷰
Wonderful hotel, great location, and exceptional service!
⭐ 10.0
Great location, close to Ucf, restaurants, and shopping. The hotel was clean, the bed was comfortable, breakfast was great and most importantly… The s...
최고
⭐ 10.0
Staff was nice even extending to 3 weeks
🌻 잊지 못할 여행의 시작, 지금 바로 예약하세요!
2. DoubleTree by Hilton Orlando East - UCF Area
📍 12125 High Tech Avenue, 센트럴 플로리다 대학교, 올랜도 (FL), 미국, 32817
✨ 이 호텔만의 특별한 하이라이트
다양한 액티비티
무료 - 공항 이동 교통편 서비스
무료 Wi-Fi (모든 객실)
에어컨
일일 청소 서비스
DoubleTree by Hilton Orlando East - UCF Area는 3.5성급의 고급 호텔로, 모든 객실에서 무료 Wi-Fi를 이용할 수 있으며, 주차 공간도 무료로 제공되어 편리해요. 룸은 매우 청결하며, 편안한 침대가 준비되어 있습니다. 호텔 내에는 스타벅스가 있어서 언제든지 커피를 즐길 수 있으며, 레스토랑과 바도 훌륭하다는 평가를 받고 있어요. Hilton CleanStay 인증을 받은 곳으로, 청결에 대한 걱정 없이 안심하고 머무를 수 있다는 점도 큰 장점이에요. 수영장과 피트니스 센터를 [편의시설]로 이용하며 휴식을 취할 수 있어요.
👜 체크인/체크아웃 시간 한눈에 보기
체크인 시작시간 - 03:00 PM
체크아웃 마감시간 - 11:00 AM
이 호텔은 센트럴 플로리다 대학교 근처에 위치해 있어서 대학교 방문객에게 아주 좋아요. 또한, 주변 관광 명소와 맛집이 많아서 여행을 즐기기에도 편리해요. 특히 디즈니스 매직 킹덤이 가까워서, 가족 여행객에게 인기가 많아요. 가장 가까운 기차, 지하철 또는 버스 정류장은 15244m 거리에 있는 Maitland입니다. 위치, 직원, 청결 등 모든 면에서 높은 평가를 받고 있으며, 특히 직원들의 친절함에 대한 칭찬이 많아요.
🗨️ 방문자들이 직접 남긴 솔직한 리뷰
Clean hotel, good value, great location
⭐ 10.0
The rooms were very clean. The front desk staff were very helpful and informative. The Starbucks is very convenient. The breakfast is good.
최고
⭐ 10.0
Room comfort excelled! Great restaurant and bar!
🌻 잊지 못할 여행의 시작, 지금 바로 예약하세요!
3. 홈우드 스위트 바이 힐튼 올랜도-UCF 지역
Homewood Suites by Hilton Orlando-UCF Area
📍 3028 North Alafaya Trail, 센트럴 플로리다 대학교, 올랜도 (FL), 미국, 32826
✨ 이 호텔만의 특별한 하이라이트
나홀로 여행객 평점이 높은 숙소
다양한 액티비티
Top Value
매우 청결
무료 Wi-Fi (모든 객실)
홈우드 스위트 바이 힐튼 올랜도-UCF 지역은 모든 객실에서 무료 Wi-Fi를 제공하며, 무료 주차 [편의시설]을 이용할 수 있어 편리해요. 3성급의 이 호텔은 피트니스 센터, 실외 수영장, 온수 욕조 등의 [편의시설]을 갖추고 있어, 휴식과 건강 관리를 동시에 할 수 있다는 장점이 있어요. 세탁 서비스도 제공하고 있어서, 장기 투숙객에게 특히 유용해요. 객실은 매우 깨끗하고 밝으며, 침대도 편안하다는 평가가 많아요. 100%의 투숙객들이 긍정적인 후기를 남길 정도로 만족도가 높아요.
👜 체크인/체크아웃 시간 한눈에 보기
체크인 시작시간 - 03:00 PM
체크아웃 마감시간 - 12:00 PM
이 호텔은 센트럴 플로리다 대학교 근처에 위치해 있으며, 주변에 쇼핑 지역도 가까워서 편리해요. 위치와 시설 모두 훌륭하다는 평가를 받고 있으며, 특히 직원들의 친절함에 대한 칭찬이 많아요. Maitland 기차, 지하철 또는 버스 정류장이 16008m 거리에 있습니다. 스트레스 없는 숙박을 원하는 사람들에게 강력히 추천하며, 집처럼 편안하게 쉴 수 있다는 점이 매력적이에요.
🗨️ 방문자들이 직접 남긴 솔직한 리뷰
Great location and facilities.
⭐ 10.0
Close to UCF and shopping areas.
It was a very nice, relaxing stay.
⭐ 10.0
The hotel was very clean and the staff was professional and nice. The mattress was absolutely amazing and the bed was very comfortable. Breakfast wa...
🌻 잊지 못할 여행의 시작, 지금 바로 예약하세요!
🌻 당신을 기다리는 올랜도 호텔 보러가기!
아래 링크를 통해 올랜도의 새로운 호텔 정보를 확인해 보세요.
올랜도 인터내셔널 드라이브 사우스 - 씨 월드 호텔·숙소 추천, 똑똑한 여행을 위한 가성비 숙소 Pick Best 3
올랜도 호텔/리조트·숙소 추천, 똑똑한 여행을 위한 가성비 숙소 Pick Best 6
올랜도 브라이언 호 호텔·숙소 추천, 여행 놓치면 아쉬운 인기 숙소 Top 5</t>
  </si>
  <si>
    <t>https://postfiles.pstatic.net/MjAyNTExMDJfMjE3/MDAxNzYyMDY2MDcyNTA3.UtFlUr3R73DQLP_AWFvC9xm_3nyoqwyakbrHGb04Mckg.udxGaLy4D6ldnhhhkLzAYzD1sMXVmeA0coD0Sbcd6aAg.JPEG/5813910441.jpg?type=w966|||https://pix8.agoda.net/hotelImages/29993385/508414859/066566de2aea29890c0e59e86066136c.jpg?ce=0&amp;s=1024x768|||https://pix8.agoda.net/hotelImages/29993385/0/df3882c1631a53e3784c0743f81bfbe2.jpg?ce=0&amp;s=1024x768|||https://q-xx.bstatic.com/xdata/images/hotel/max1024x768/581391065.jpg?k=53c897918b5f9ecc5ac6e425b038339397cd4cb17f6248e8e1e7637fe850f35b&amp;o=|||https://q-xx.bstatic.com/xdata/images/hotel/max1024x768/474337200.jpg?k=7adb94db182d84b22d19e12bd943dbcbe701c32272b19e0d244573dde101dd6e&amp;o=|||https://q-xx.bstatic.com/xdata/images/hotel/max1024x768/474337169.jpg?k=ca5c13d35878273e0ef9a4064b37d344bfe19fd0c8f9b369c0521f47bb57c66b&amp;o=|||https://q-xx.bstatic.com/xdata/images/hotel/max1024x768/474337157.jpg?k=dd846102c503598063edfb3164761b4ea7515d4b6f032a9a9186cfaa40fbd7a3&amp;o=|||https://pix8.agoda.net/hotelImages/2290824/461967740/e78df4878a217c8c01f7b701250e1221.jpeg?ce=2&amp;s=1024x768|||https://pix8.agoda.net/hotelImages/79657/0/977a20dc826ce8cba289ce735e1828af.jpg?ca=7&amp;ce=1&amp;s=1024x768|||https://pix8.agoda.net/hotelImages/2290824/461967740/c85e56fbcc2cfa1856a275dee67fa3c0.jpeg?ce=2&amp;s=1024x768</t>
  </si>
  <si>
    <t>하며</t>
  </si>
  <si>
    <t>광저우 톈허 구 - 티몰 호텔·숙소 추천, 여.. : 네이버블로그</t>
  </si>
  <si>
    <t xml:space="preserve">체크인/체크아웃 시간 한눈에 보기 체크인 시작시간 - 03:00 PM 체크아웃 마감시간 - 12:00 PM 리셉션... 혼더 인터내셔널 호텔 Honder International Hotel-Canton Fair Free Shuttle Bus  No 2 Dongguanzhuang Road (Hotel renovation... </t>
  </si>
  <si>
    <t>https://blog.naver.com/roomstylist/224061803326</t>
  </si>
  <si>
    <t>이 글은 호텔 플랫폼과의 협업을 통해 작성되었습니다. 링크를 통해 예약하시면 추가 비용은 전혀 없으며, 블로거는 소정의 커미션을 받습니다.
활기 넘치는 도시, 광저우! 그중에서도 톈허 구는 현대적인 매력과 편리한 교통, 다양한 쇼핑 및 문화 시설로 여행객들에게 사랑받는 곳이에요. 톈허 구에서 잊지 못할 추억을 만들 수 있는 최고의 호텔들을 소개할게요.
1. 소피텔 광저우 선리치
Sofitel Guangzhou Sunrich Hotel
📍 988 Guangzhou Da Dao Zhong, 톈허 구 - 티몰 / 광저우 동역, 광저우 / 광주, 중국, 510620
✨ 이 호텔만의 특별한 하이라이트
대중교통(550m 거리)
다양한 액티비티
위생 PLUS
우수 | 조식
24시간 상시 체크인
소피텔 광저우 선리치는 파리 스타일의 옥상 바를 자랑하며, 광저우의 스카이라인을 감상하며 낭만적인 시간을 보낼 수 있어요. 객실은 아시아의 우아함과 프랑스의 세련됨이 조화롭게 어우러져 있으며, 에어컨과 무료 Wi-Fi가 완비되어 있어서 편안하게 지낼 수 있어요. 특히 일부 객실에서는 숨 막힐 듯 아름다운 도시 전망을 감상할 수 있다는 점이 매력적이에요. 이 호텔에는 뷔페 레스토랑, 영국식 펍, 티 라운지, 테라스 바 및 베이커리가 있어서 멀리 나가지 않아도 편리하게 식사를 즐길 수 있어요.
👜 체크인/체크아웃 시간 한눈에 보기
체크인 시작시간 - 03:00 PM
체크아웃 마감시간 - 12:00 PM
리셉션 종료 시간 - 11:59 PM
이 호텔은 활기찬 톈허 구역에 위치해 있어서 쇼핑과 야경을 즐기기에 더할 나위 없이 좋아요. 타이쿠 후이와 톈허청에 쉽게 접근할 수 있으며, 주변 관광 명소도 편리하게 둘러볼 수 있어요. 멋진 전망을 자랑하는 고요한 수영장에서 휴식을 취하거나, 스팀룸에서 피로를 풀 수도 있어요. 또한, 맛있는 테이크아웃 아침 옵션을 이용하면 활기찬 하루를 시작할 수 있어요.
🗨️ 방문자들이 직접 남긴 솔직한 리뷰
재방문의사 있습니다
⭐ 10.0
조식도 훌륭하고 스탠다드룸도 넓어서 숙면취하기 좋았고 위치도 아주 훌륭했습니다
최고
⭐ 10.0
깨끗하고 위치도 좋았어요
🌻 잊지 못할 여행의 시작, 지금 바로 예약하세요!
2. 광저우 메리어트 호텔 티안헤
Guangzhou Marriott Hotel Tianhe
📍 No. 228, Tianhe Road, Tianhe District, 톈허 구 - 티몰 / 광저우 동역, 광저우 / 광주, 중국, 510620
✨ 이 호텔만의 특별한 하이라이트
광저우 / 광주의 중심지에 위치
다양한 액티비티
공항 이동 교통편 서비스
대중교통(220m 거리)
도심에 위치
광저우 메리어트 호텔 티안허는 톈허 지구 중심부에 위치해 있어서 도시의 활기찬 에너지를 느끼기에 완벽한 곳이에요. 객실은 에어컨이 완비되어 있으며, 무료 WiFi를 제공하여 편리하게 이용할 수 있어요. 스타일리시한 바에서 여유로운 시간을 보내거나, 고요한 실내 수영장에서 상쾌하게 수영을 즐길 수도 있어요. 스팀룸에서 활력을 되찾는 것도 좋은 선택이에요. 뷔페식 아침 식사를 즐길 수 있으며, 룸서비스를 이용하면 객실에서 편안하게 식사를 할 수 있어요.
👜 체크인/체크아웃 시간 한눈에 보기
체크인 시작시간 - 02:00 PM
체크아웃 마감시간 - 12:00 PM
리셉션 종료 시간 - 12:00 AM
체크아웃 시작 시간 - 12:00 AM
체크인 마감 시간 - 12:00 AM
이 호텔은 그랜드뷰 몰, 톈허청, 타이쿠 후이 컴플렉스와 같은 유명 쇼핑 명소와 가까워서 쇼핑을 즐기기에 최적의 위치를 자랑해요. 톈허 지구는 고급 쇼핑 허브로 유명하며, 다양한 레스토랑과 엔터테인먼트 시설도 즐비해요. 호텔 주변을 산책하며 도시의 아름다움을 만끽하거나, 대중교통을 이용하여 광저우의 다른 지역을 쉽게 탐험할 수 있어요.
🗨️ 방문자들이 직접 남긴 솔직한 리뷰
좋습니다
⭐ 10.0
주의 쇼핑몰이 많고 좋은 식당 집이 많아서 여행하기 좋습니다. 다음에도 또 가고 싶습니다. 감사합니다.
너무 만족해요
⭐ 10.0
저는 업무 보랴 와이프와 아이한테 신경을 못썼는데 광저우 시내에 가장 핫한 플레이스에 위치해있으며, 맛집, 쇼핑이 다모여있어요. 택시타고 나가지 않아도 되며, 젊은이들이 많고, 사람이 많아요. 치안도 괜찮습니다
🌻 잊지 못할 여행의 시작, 지금 바로 예약하세요!
3. 스타 레지던스 ICC 광저우
Star Residence ICC Guangzhou
📍 No. 241 Tianhebei Road, Tianhe District, Guangzhou 510610 China ( Enter from the interval road next to Hui Ya Yuan Residential parking lot entrance on Linle Road by cars / Enter from ICC Mall atrium next to LAVAZZA Cafe on Tianhebei Road by taxi or walk), 톈허 구 - 티몰 / 광저우 동역, 광저우 / 광주, 중국, 510610
✨ 이 호텔만의 특별한 하이라이트
대중교통(680m 거리)
나홀로 여행객 평점이 높은 숙소
다양한 액티비티
위생 PLUS
공항 이동 교통편 서비스
스타 레지던스 ICC 광저우는 현대적인 편안함과 편리함을 제공하는 시타딘 아파트호텔이에요. 객실은 에어컨, 무료 Wi-Fi를 갖추고 있으며, 일부 객실에는 멋진 도시 전망을 감상할 수 있는 전용 발코니가 마련되어 있어요. 피트니스 센터와 사우나를 이용하여 건강 관리를 할 수 있으며, 편리한 아침 식사 테이크아웃 서비스도 이용할 수 있어요. 비즈니스 여행객을 위한 회의 시설도 완비되어 있어요.
👜 체크인/체크아웃 시간 한눈에 보기
체크인 시작시간 - 02:00 PM
체크아웃 마감시간 - 12:00 PM
리셉션 종료 시간 - 12:00 AM
체크인 마감 시간 - 12:00 AM
이 호텔은 톈허 지구의 중심에 위치해 있어서 타이쿠 후이 컴플렉스, 정佳광장, 톈허청과 같은 주요 쇼핑 명소에 쉽게 접근할 수 있어요. 주변에는 다양한 레스토랑과 카페가 있어서 식사를 즐기기에도 편리해요. 지하철역이 가까워서 광저우의 다른 지역으로 이동하기도 용이해요.
🗨️ 방문자들이 직접 남긴 솔직한 리뷰
훌륭합니다.
⭐ 10.0
광저우 중심에 있어 위치도 좋고 교통도 편리합니다. 객실 크기는 여유롭고 다양한 시설을 편리하게 이용 할수 있습니다.
좋은 위치에 깔끔한 숙소
⭐ 9.6
광저우 중심에 있으며 주변에 여러가지 편리한 시설과 구경거리가 있습니다
🌻 잊지 못할 여행의 시작, 지금 바로 예약하세요!
4. 광저우 티미 호텔
Guangzhou Timmy Hotel
📍 7th Floor, Longde Building, 371,373# Tianhe Road, 톈허 구 - 티몰 / 광저우 동역, 광저우 / 광주, 중국, 510000
✨ 이 호텔만의 특별한 하이라이트
광저우 / 광주의 중심지에 위치
다양한 액티비티
위생 PLUS
우수 | 조식
24시간 상시 체크인
광저우 티미 호텔은 현대적인 디자인과 편안한 객실을 제공하며, 옥상 테라스에서 멋진 도시 전망을 감상할 수 있어요. 객실은 에어컨이 완비되어 있으며, 개인 발코니가 있는 객실도 있어서 더욱 쾌적하게 지낼 수 있어요. 공용 라운지에서 휴식을 취하거나, 룸 서비스 및 음식 배달 서비스를 이용할 수 있어요.
👜 체크인/체크아웃 시간 한눈에 보기
체크인 시작시간 - 02:00 PM
체크아웃 마감시간 - 02:00 PM
리셉션 종료 시간 - 11:59 PM
이 호텔은 톈허구에 위치해 있으며, 지하철역과 가까워서 교통이 편리해요. 티몰과 동역이 가까워서 쇼핑과 문화 체험을 즐기기에도 좋아요. 톈허구는 활기 넘치는 지역으로, 다양한 레스토랑, 쇼핑몰, 엔터테인먼트 시설이 밀집해 있어요.
🗨️ 방문자들이 직접 남긴 솔직한 리뷰
가성비좋아용
⭐ 10.0
직원분들이 정말친절합니다! 영어 되는분들도 한 두분 계십니다. 방 가성비도 괜찮은듯요~ 비슷한가격의 다른 호텔보다는 좀더 넓은 느낌. 근처에 역이랑 편의점같은것도 다있어서 편했습니당
좋아요
⭐ 10.0
가성비 갑 숙소에요 찾을땐 힘들었지만 찾고 나니 꽤 좋은 위치에 있던 숙소고 단점은 방음 ㄴㄴ 엘베이용 개개개개 불편 빼곤 다 좋았!! 아 냉장고도 없음
🌻 잊지 못할 여행의 시작, 지금 바로 예약하세요!
5. 그랜드 팰리스 호텔 -그랜드 호텔 매니지먼트 그룹
Grand Palace Hotel（Grand Hotel Management Group）
📍 148 Linhe Zhong Road Tianhe District, 톈허 구 - 티몰 / 광저우 동역, 광저우 / 광주, 중국, 510610
✨ 이 호텔만의 특별한 하이라이트
광저우 / 광주의 중심지에 위치
다양한 액티비티
24시간 상시 체크인
대중교통(480m 거리)
도심에 위치
그랜드 팰리스 호텔은 편안하고 아늑한 객실을 제공하며, 다양한 편의시설을 이용할 수 있어요. 무료 피트니스 센터에서 운동을 즐기거나, 룸서비스를 이용하여 객실에서 편안하게 식사를 할 수 있어요.
👜 체크인/체크아웃 시간 한눈에 보기
체크인 시작시간 - 02:00 PM
체크아웃 마감시간 - 12:00 PM
리셉션 종료 시간 - 12:00 AM
이 호텔은 광저우 동역에서 도보로 5~7분 거리에 위치해 있어서 교통이 매우 편리해요. 광저우 동역을 이용하는 여행객에게 특히 좋은 선택이 될 수 있어요. 호텔 근처에는 이케아가 있어서 쇼핑을 즐기기에도 좋아요. 또한, 호텔에서 광저우 교역회까지 편리하게 이동할 수 있는 셔틀 버스도 운행하고 있어요.
🗨️ 방문자들이 직접 남긴 솔직한 리뷰
출장이라면..
⭐ 10.0
우선, 이곳의 위치는 광주동역에서 내려서 걸어서 5분~7분 소요. 광저우동역에서 움직이셔야 하는 사람들은 이정도 가격이면 꽤 괜찮음. 조식.. 다른데도 훌륭하다 하지만, 이 곳 역시 조식 괜찮음. 뭐 먹을꺼 없다 하지만, 독일에 있는 비싸고 조그마한 호텔의 조식보다...
여
⭐ 10.0
일단 가격에 비해 호텔 시설이 아주 깔끔하고 좋았다. 직원들도 무척 친절했고 조식도 종류가 많은 건 아니었지만 딱 먹을만한 것들로만 준비되어서 기분좋게 식사할 수 있었다. 또 기차표도 거기서 예약해서 미리 받을수 있었다. 광저우 동역과 이케아가 바로 옆에 있어서 쇼핑...
🌻 잊지 못할 여행의 시작, 지금 바로 예약하세요!
6. 혼더 인터내셔널 호텔
Honder International Hotel-Canton Fair Free Shuttle Bus
📍 No 2 Dongguanzhuang Road (Hotel renovation on F27 &amp; F28), 톈허 구 - 티몰 / 광저우 동역, 광저우 / 광주, 중국, 510610
✨ 이 호텔만의 특별한 하이라이트
다양한 액티비티
최근 리노베이션 완료
공항 이동 교통편 서비스
24시간 상시 체크인
무료 Wi-Fi (모든 객실)
혼더 인터내셔널 호텔은 넓고 깨끗한 객실을 제공하며, 쾌적한 숙박 경험을 선사해요. 객실에는 필요한 모든 편의시설이 갖춰져 있어서 편안하게 지낼 수 있어요.
👜 체크인/체크아웃 시간 한눈에 보기
체크인 시작시간 - 02:00 PM
체크아웃 마감시간 - 12:00 PM
리셉션 종료 시간 - 12:00 AM
이 호텔은 캔톤 페어(광저우 수출입 상품 교역회) 기간 동안 무료 셔틀 버스를 운행하여 편리하게 전시회에 참석할 수 있도록 지원해요. 또한, 호텔 주변에는 다양한 레스토랑과 쇼핑 시설이 있어서 편리하게 이용할 수 있어요. 톈허 지구에 위치해 있어서 백운산과 월수산과 같은 자연 명소에도 쉽게 접근할 수 있어요.
🗨️ 방문자들이 직접 남긴 솔직한 리뷰
깨끗
⭐ 10.0
직원친절 비즈니스용굿
굿
⭐ 10.0
다음에 또 이용 할래요
🌻 잊지 못할 여행의 시작, 지금 바로 예약하세요!
🌻 당신을 기다리는 광저우 호텔 보러가기!
아래 링크를 통해 광저우의 새로운 호텔 정보를 확인해 보세요.
광저우 웨슈 구 - 베이징루 호텔·숙소 추천, 똑똑한 여행을 위한 가성비 숙소 Pick Best 3
광저우 바이윈 국제 공항 주변 호텔·숙소 추천, 여행 놓치면 아쉬운 인기 숙소 Top 6
광저우 바이윈 구 - 싼위안리 호텔·숙소 추천, 여행을 위한 최고의 숙소 Best 5</t>
  </si>
  <si>
    <t>https://postfiles.pstatic.net/MjAyNTExMDJfMjE4/MDAxNzYyMDQ5Njc2Mzc3.DfaZaQt9X-Xs8ptebGmQzoXFAIA6Yc9ClZLZGVenQEIg.Yk-DYDcovxtHy0G5pNZqzeCm9ckNZnQ-9pFP3gB09Wcg.JPEG/7636676801.jpg?type=w966|||https://q-xx.bstatic.com/xdata/images/hotel/max1024x768/763914475.jpg?k=39cf13483b70aa11bf7f1ebf3d19829bc67bf1b306794df62751cf25f50a473a&amp;o=|||https://pix8.agoda.net/hotelImages/4884326/0/e6b7d7b06c8782e152a57ea4c1e243a6.jpeg?ce=2&amp;s=1024x768|||https://q-xx.bstatic.com/xdata/images/hotel/max1024x768/763914537.jpg?k=e8f66d3aeb331f330c617589bb626a932a7e586cccf5f1683998499e136eff64&amp;o=|||https://pix8.agoda.net/hotelImages/5078609/1154085895/b7bf0043c5fdd14e96e4635fcd6c2cab.jpeg?ce=2&amp;s=1024x768|||https://pix8.agoda.net/hotelImages/5078609/1016833418/397a30ea286d8d7756f7a810bcbe6061.jpeg?ce=0&amp;s=1024x768|||https://pix8.agoda.net/hotelImages/245745/-1/5d8c113e861f52b28c2bc26439b50a9e.jpg?ce=0&amp;s=1024x768|||https://pix8.agoda.net/hotelImages/22871944/-1/ce4f54987c23bea4fa3467c23b53b3f0.jpg?ca=19&amp;ce=1&amp;s=1024x768|||https://pix8.agoda.net/hotelImages/22871944/-1/aede7ec1f5d8f7874e588bd2b9079b02.jpg?ca=19&amp;ce=1&amp;s=1024x768|||https://pix8.agoda.net/hotelImages/27822939/0/30387826d4e484ad8d13a5d39ba1aa01.jpg?ce=0&amp;s=1024x768|||https://pix8.agoda.net/property/287603/0/462520a7af2e6c1c6330968140b2c27e.jpeg?ce=0&amp;s=1024x768|||https://pix8.agoda.net/hotelImages/287603/-1/d259664bab93dc7197032e848ea777d8.png?ce=0&amp;s=1024x768|||https://q-xx.bstatic.com/xdata/images/hotel/max1024x768/707148867.jpg?k=23340178b7bab54893522e7076f6541c9be3403d6f8389a4ab199e2124827d4f&amp;o=|||https://pix8.agoda.net/hotelImages/63226/-1/70112388675772d73e4a1f8f951b4373.jpg?ca=9&amp;ce=1&amp;s=1024x768|||https://pix8.agoda.net/hotelImages/63226/-1/75e707483479762c2aac38504a29ac08.jpg?ca=9&amp;ce=1&amp;s=1024x768|||https://q-xx.bstatic.com/xdata/images/hotel/max1024x768/32133957.jpg?k=2fb8ebc03647b471f8d999be84efdb9137fedd19de20cb6845a343abec58a21d&amp;o=|||https://pix8.agoda.net/hotelImages/736984/3381567/a41e407a962e5f2b290bf345074b556b.jpg?ce=0&amp;s=1024x768|||https://q-xx.bstatic.com/xdata/images/hotel/max1024x768/645579240.jpg?k=afaa008307016e364162cf1bd4aa4aed7161426be1dd5df1fa627cdd63d7fe4c&amp;o=|||https://pix8.agoda.net/hotelImages/736984/0/0444c159ed34f23c2b3580e29d93859c.jpg?ce=0&amp;s=1024x768</t>
  </si>
  <si>
    <t>헬스프랜드 알파CD, 놀라운 핏라인 부스트! : 네이버 블로그</t>
  </si>
  <si>
    <t xml:space="preserve">이 글을 끝까지 읽으시면, 알파CD가 어떻게 당신의 라인을 부스트하고 더 건강한 하루를 선사하는지 제대로 알게 되실 거예요. 핏라인, 오늘부터 시작해 이상적인 핏라인을 향한 여정, 이제 헬스프랜드 알파CD와... </t>
  </si>
  <si>
    <t>blog.naver.com/loveitem545</t>
  </si>
  <si>
    <t>https://blog.naver.com/loveitem545/224062565707</t>
  </si>
  <si>
    <t>loveitem545</t>
  </si>
  <si>
    <t>"⭐ [광고]득템 찬스 놓치지 마세요 ⭐"
거울 앞에 서서 옷맵시를 살려주는 핏라인, 혹시 요즘 좀 아쉽다고 느끼시나요? 혹은 잦은 회식과 야근으로 지친 나를 위해 조금 더 건강하고 가볍게 관리하고 싶다는 생각, 한 번쯤 해보셨을 거예요. 많은 분들이 헬스프랜드 알파CD 핏라인 부스트 1박스(30포)에 주목하는 이유가 바로 여기에 있습니다. 특별한 성분인 알파시클로덱스트린과 난소화성말토덱스트린의 놀라운 시너지 효과로, 당신의 핏라인 관리에 새로운 기준을 제시할 헬스프랜드 알파CD! 이 글을 끝까지 읽으시면, 알파CD가 어떻게 당신의 라인을 부스트하고 더 건강한 하루를 선사하는지 제대로 알게 되실 거예요.
핏라인, 오늘부터 시작해
이상적인 핏라인을 향한 여정, 이제 헬스프랜드 알파CD와 함께라면 어렵지 않습니다. 핏라인 관리는 꾸준함이 핵심이며, 알파시클로덱스트린 성분을 함유한 헬스프랜드 알파CD는 당신의 핏라인 관리를 돕는 든든한 지원군이 될 것입니다. 1박스(30포) 구성으로 부담 없이 시작할 수 있으며, 알파시디 분말 형태로 간편하게 섭취할 수 있습니다.
헬스프랜드 알파CD의 주성분인 알파시클로덱스트린은 곡류에서 추출한 천연 성분으로, 고리 모양의 독특한 구조를 가지고 있습니다. 이 구조 덕분에 다양한 물질을 포용하는 능력이 뛰어나며, 난소화성말토덱스트린과 함께 복합적으로 작용하여 핏라인 관리에 도움을 줄 수 있습니다.
두 성분 모두 식이섬유의 일종으로 핏라인 관리에 긍정적인 영향을 줄 수 있지만, 그 특징에는 약간의 차이가 있습니다. 헬스프랜드 알파CD는 이 두 성분을 최적의 비율로 배합하여 시너지 효과를 기대할 수 있습니다.
성분
주요 특징
핏라인 관리에 기여하는 방식
알파시클로덱스트린
곡류 유래 천연 성분, 고리 구조, 높은 포용력
체내 흡수율 조절 도움
난소화성말토덱스트린
난소화성 식이섬유, 프리바이오틱스 역할
장 건강 개선 및 포만감 증진
이처럼 헬스프랜드 알파CD는 단순히 하나의 성분에 의존하기보다, 복합적인 성분들의 상호작용을 통해 핏라인 부스트를 목표로 합니다.
알파CD로 몸매 변화를
혹시 여러분도 연말 연초, 혹은 중요한 약속을 앞두고 '이번엔 진짜 다이어트 성공해야지!' 다짐하지만, 생각보다 쉽게 무너지는 경험, 다들 있으신가요? 저 역시 그랬거든요. 헬스프랜드 알파CD를 만나기 전에는요.
매번 굳은 결심으로 식단 조절과 운동을 시작하지만, 며칠 지나지 않아 찾아오는 허기짐과 피로감에 결국 좋아하는 음식을 앞에 두고 무너져버리곤 했죠. 그러다 보니 '나는 왜 이렇게 의지 박약일까' 자책하기도 했고요. 그렇게 늘 제자리걸음이었던 핏라인 때문에 늘 속상했답니다.
제가 헬스프랜드 알파CD, 정확히는 알파시클로덱스트린 성분이 포함된 이 제품을 1박스(30포) 꾸준히 섭취하면서 제 몸에 놀라운 변화가 찾아왔어요. 단순히 체중계 숫자가 줄어든 것 이상으로, 몸이 훨씬 가벼워지고 탄탄해지는 느낌을 받았죠. 마치 꽉 끼던 옷이 조금씩 여유로워지는 것처럼요!
잦은 야식 유혹에 무너짐
운동 후에도 만족스럽지 못한 몸매
다이어트 정체기로 인한 좌절감
헬스프랜드 알파CD는 단순히 칼로리를 줄이는 것을 넘어, 제 몸의 근본적인 변화를 돕는다는 느낌을 받았어요. 특히 난소화성말토덱스트린 성분이 풍부하게 함유되어 있어, 식사 후에도 더부룩함이 줄고 포만감이 오래 유지되는 데 도움을 받았답니다. 덕분에 과식이나 불필요한 간식 섭취를 자연스럽게 줄일 수 있었어요. 마치 몸이 알아서 '필요한 것만 쏙쏙' 골라내는 느낌이랄까요?
알파시디 분말 형태로 되어 있어서 하루에 한 포씩 간편하게 챙겨 먹기도 좋았어요. 바쁜 아침에도, 점심 식사 후에도 부담 없이 섭취할 수 있었죠. 이렇게 꾸준히 섭취하면서, 저는 다음과 같은 긍정적인 변화들을 경험할 수 있었습니다:
꾸준한 포만감 유지: 식사량 조절이 훨씬 쉬워졌어요.
가벼워진 몸 상태: 하루 종일 무기력함 없이 활기찬 기분을 느꼈어요.
눈에 띄는 핏라인 변화: 옷태가 달라지는 것을 느끼며 자신감이 생겼습니다.
이제 더 이상 '다이어트는 힘들어'라고 생각하지 않으려구요. 헬스프랜드 알파CD와 함께라면, 여러분도 충분히 놀라운 핏라인 변화를 경험하실 수 있을 거예요. 여러분의 몸매 변화, 언제 시작하시겠어요?
1박스로 느껴봐요
1박스로 느껴봐요! 헬스프랜드 알파CD 한 팩(30포)으로 달라진 핏라인을 직접 경험해보세요. 간편하게 시작할 수 있는 3단계 가이드를 따라 알파시클로덱스트린의 놀라운 변화를 체감할 수 있습니다.
헬스프랜드 알파CD 1박스(30포)를 준비하세요. 개봉 후, 각 포 안에는 알파시디 분말 형태의 제품이 들어있습니다. 섭취 전, 제품의 유통기한을 확인하는 것을 잊지 마세요.
하루에 1포씩, 물 200ml에 난소화성말토덱스트린이 함유된 알파CD 분말을 잘 섞어 마십니다. 덩어리가 지지 않도록 충분히 저어주세요. 아침 식전 또는 공복에 섭취하는 것을 권장합니다.
매일 꾸준히 섭취하는 것이 중요합니다. 1박스(30포)를 모두 비울 때까지 꾸준히 실천하여 핏라인 부스트 효과를 느껴보세요. 개인의 신체 변화를 기록하면 더욱 좋습니다.
팁: 텀블러를 사용하면 분말이 잘 섞이고 휴대하기 편리합니다.
주의사항: 특정 질환이 있거나 알레르기가 있는 분은 전문가와 상담 후 섭취하세요. 과다 섭취는 권장되지 않습니다.
분말 섭취 방법을 알아
헬스프랜드 알파CD 핏라인 부스트를 효과적으로 섭취하고 싶으신가요? 1박스(30포)로 구성된 이 제품, 어떻게 마시는 것이 가장 좋을지 고민되실 수 있습니다. 특히 알파시클로덱스트린이나 알파시디 분말, 난소화성말토덱스트린 성분들이 생소하게 느껴질 수 있죠.
"처음에는 분말 형태라 어떻게 섭취해야 할지 망설였어요. 물에 타 마시면 뭉치지 않을까, 혹시 맛이 이상하지 않을까 걱정했죠."
많은 분들이 헬스프랜드 알파CD 핏라인 부스트를 꾸준히 섭취하며 놀라운 변화를 경험하고 싶지만, 막상 분말 섭취 방법을 몰라 망설이는 경우가 있습니다. 물에 잘 녹지 않거나, 텁텁한 맛 때문에 섭취를 포기하게 되는 경험, 누구나 한 번쯤은 해봤을 겁니다.
헬스프랜드 알파CD 핏라인 부스트 분말은 생각보다 훨씬 간편하게 섭취할 수 있습니다. 가장 일반적인 방법은 하루 1~2회, 1포씩 물 200ml에 잘 섞어 마시는 것입니다. 이때, 미지근한 물을 사용하면 분말이 더 잘 녹고 뭉침 없이 부드럽게 섭취할 수 있습니다.
만약 물에 타 마시는 것이 익숙하지 않다면, 다른 방법을 시도해볼 수 있습니다. 좋아하는 음료에 섞어 마시는 것도 좋은 방법입니다. 예를 들어, 플레인 요거트나 스무디에 섞어 드시면 맛과 영양을 동시에 챙길 수 있습니다. 알파시클로덱스트린과 같은 성분이 음료나 요거트의 맛을 해치지 않고 자연스럽게 어우러져 섭취가 더욱 즐거워질 것입니다.
"처음에는 물에 타 먹었는데, 요즘은 아침마다 샐러드에 뿌려 먹거나 요거트에 섞어 먹어요. 간편하고 맛있어서 매일 챙기게 되더라고요."
핵심은 꾸준함입니다. 자신에게 가장 편하고 즐거운 방법으로 헬스프랜드 알파CD 핏라인 부스트를 섭취하며 건강한 핏라인을 만들어가세요!
난소화성말토덱스트린 믿어봐
건강한 라이프스타일을 추구하며 핏라인 관리에 대한 관심이 높아지고 있습니다. 특히 최근 주목받는 성분 중 하나가 바로 난소화성말토덱스트린입니다. 헬스프랜드 알파CD는 이러한 난소화성말토덱스트린을 주성분으로 하여 핏라인 부스트 효과를 기대할 수 있는 제품입니다. 1박스(30포)로 구성된 헬스프랜드 알파CD는 분말 형태로 섭취가 간편하며, 알파시클로덱스트린, 즉 알파시디 성분 또한 함유하고 있어 그 효과에 대한 기대감을 높입니다. 그렇다면 난소화성말토덱스트린은 어떤 특징을 가지고 있으며, 핏라인 관리에 어떤 도움을 줄 수 있을까요?
난소화성말토덱스트린은 쉽게 소화되지 않고 장까지 도달하여 유익균의 먹이가 되는 프리바이오틱스의 일종입니다. 이러한 특성 때문에 장 건강 개선과 더불어 혈당 조절, 콜레스테롤 개선 등 다양한 건강상의 이점을 기대할 수 있습니다. 헬스프랜드 알파CD에 함유된 이 성분은 핏라인 관리 측면에서도 긍정적인 영향을 줄 수 있습니다. 체내 에너지 소비를 돕고 포만감을 유지시켜 식단 관리에 도움을 줄 수 있기 때문입니다.
난소화성말토덱스트린은 다른 일반적인 탄수화물과는 달리 소화효소에 의해 쉽게 분해되지 않는다는 점에서 차별화됩니다. 일반적인 말토덱스트린은 빠르게 소화 흡수되어 혈당을 급격히 올릴 수 있는 반면, 난소화성말토덱스트린은 이러한 문제를 최소화하면서 장내 유익균 증식에 기여합니다. 알파시클로덱스트린 또한 특정 물질을 포집하는 특성이 있어, 이러한 복합적인 작용이 헬스프랜드 알파CD의 핏라인 부스트 효과에 기여할 수 있다는 의견이 있습니다.
헬스프랜드 알파CD는 분말 형태로 출시되어 물에 타서 간편하게 섭취할 수 있다는 장점이 있습니다. 많은 분들이 핏라인 관리를 위해 꾸준히 노력하지만, 효과를 체감하기까지 시간이 걸리거나 포기하는 경우가 많습니다. 난소화성말토덱스트린은 장기적인 관점에서 건강한 습관 형성을 돕는 역할을 할 수 있으며, 알파시디와 같은 다른 성분과의 시너지 효과를 통해 긍정적인 변화를 기대하는 분들이 많습니다.
난소화성말토덱스트린은 변비 개선, 장내 환경 개선 등 직접적인 건강 효과 외에도 간접적으로 핏라인 관리에 도움을 줄 수 있습니다. 하지만 모든 사람에게 동일한 효과가 나타나는 것은 아니며, 개인의 체질이나 생활 습관에 따라 결과는 달라질 수 있습니다. 섭취 시에는 권장량을 지키고, 과도한 섭취는 오히려 불편함을 유발할 수 있으므로 주의가 필요합니다. 특정 질환을 앓고 있거나 약물을 복용 중인 경우 전문가와 상담 후 섭취하는 것이 좋습니다.
헬스프랜드 알파CD에 함유된 난소화성말토덱스트린은 장 건강을 비롯한 다양한 이점을 통해 핏라인 관리에 긍정적인 영향을 줄 수 있는 성분입니다. 알파시클로덱스트린과의 복합 작용 또한 기대해 볼 만합니다. 다양한 관점에서 볼 때, 섭취 편의성과 더불어 건강한 생활 습관을 유지하는 데 도움을 줄 수 있다는 점에서 긍정적으로 평가할 수 있습니다. 하지만 개인차가 존재하므로, 자신에게 맞는 방법을 찾기 위한 꾸준한 노력과 함께 섭취하는 것이 중요합니다.
결론적으로, 헬스프랜드 알파CD와 난소화성말토덱스트린은 핏라인 부스트를 위한 하나의 선택지가 될 수 있습니다. 자신에게 맞는 건강 관리 방법을 탐색하는 데 있어 이러한 성분에 대한 정보를 충분히 숙지하고, 균형 잡힌 식단과 꾸준한 운동을 병행하는 것이 가장 현명한 방법일 것입니다.
자주 묻는 질문
✅ 헬스프랜드 알파CD의 주성분인 알파시클로덱스트린은 어떤 특징을 가지고 있으며, 핏라인 관리에 어떻게 기여하나요?
→ 알파시클로덱스트린은 곡류에서 추출한 천연 성분으로, 고리 모양의 독특한 구조를 가지고 있어 다양한 물질을 포용하는 능력이 뛰어납니다. 이러한 특징을 통해 체내 흡수율 조절을 도움으로써 핏라인 관리에 기여할 수 있습니다.
✅ 헬스프랜드 알파CD에 함유된 난소화성말토덱스트린은 어떤 역할을 하며, 핏라인 관리에 어떤 도움을 주나요?
→ 난소화성말토덱스트린은 난소화성 식이섬유이자 프리바이오틱스 역할을 합니다. 이를 통해 장 건강을 개선하고 포만감을 증진시켜 과식이나 불필요한 간식 섭취를 줄이는 데 도움을 주어 핏라인 관리에 긍정적인 영향을 줄 수 있습니다.
✅ 헬스프랜드 알파CD는 1박스당 몇 포로 구성되어 있으며, 섭취는 어떻게 하는 것이 간편한가요?
→ 헬스프랜드 알파CD는 1박스에 30포로 구성되어 있습니다. 알파CD 분말 형태로 되어 있어 하루에 한 포씩 물과 함께 간편하게 섭취할 수 있으며, 바쁜 아침이나 점심 식사 후에도 부담 없이 챙겨 먹기 좋습니다.
이 포스팅은 쿠팡 파트너스 활동의 일환으로 수수료를 지급받을 수 있습니다.
등록된 상품은 추후 변경될 수 있으며, 실제 상품 정보와 다를 수 있습니다.
구매 시 쿠팡 사이트의 상품 정보를 반드시 확인하시기 바랍니다.
이 콘텐츠는 저작권법의 보호를 받는 바, 무단 전재, 복사, 배포 등을 금합니다.</t>
  </si>
  <si>
    <t>https://postfiles.pstatic.net/MjAyNTExMDNfMTkx/MDAxNzYyMTExNzE1ODA5.Gg9NGARb5jR2-GSXdJIDIrw0Jb_nj8eYpYRdc-RwXfcg.SAq0NhQvGGMh4ciH6gpq50oV3bWhoMfT-M-wZYQABisg.PNG/image_59bbbc74.png?type=w773|||https://postfiles.pstatic.net/MjAyNTExMDNfMTk1/MDAxNzYyMTExNzE3MjAy.HdjIrLXCgQ9Ua1hMS0qiU7CpIqUxHBltgWKmRYayY-Ig.bp-BflgR6auQsDmWf90d97elR9Td4pjEDPavsNe9i1wg.PNG/image_a197384b.png?type=w80_blur|||https://postfiles.pstatic.net/MjAyNTExMDNfMTE5/MDAxNzYyMTExNzE4ODI5.DBrssfi0_oEBoQZ5fk93kX7lU5cpvocEvllUKaL0SEwg.ohdymwWPw53r-Hi25wGcpg0d3bxYQpH8qJ2_hc0R-CMg.PNG/image_664cd7d6.png?type=w80_blur|||https://postfiles.pstatic.net/MjAyNTExMDNfMjAz/MDAxNzYyMTExNzIwMDkx.0tboOAJuMZhB6ouwXuLADdkaUS_9tlyopRZ04HCZQb4g.sWKJUJBJJFDVE504_qrdujHwNtR1MTqVpMqM0CaLPt4g.PNG/image_882ba978.png?type=w80_blur|||https://postfiles.pstatic.net/MjAyNTExMDNfMTc4/MDAxNzYyMTExNzIxMzk2.6JTxYOPAHhO4zG9TikeBgk5xz3tIc6-8tgWVPcN-iFcg.en_pX0gd57kw0t16FCq08RTnES366TCDdZ2kiWF16U0g.PNG/image_aa6f125e.png?type=w80_blur|||https://postfiles.pstatic.net/MjAyNTExMDNfNzQg/MDAxNzYyMTExNzIzMTA2.MWiRi4S4W-JBmjHYaxjuT8CJkPs6WxAbE_IUFDontogg.77hVa3UEFgxu7t65GHLNwYGMqNU4x7-pXzFprJWLcAIg.PNG/image_6cfe398c.png?type=w80_blur</t>
  </si>
  <si>
    <t>쉬즈미스 소프트 새틴 타이 블라우스_SWWBL.. : 네이버블로그</t>
  </si>
  <si>
    <t xml:space="preserve">셔링 핏라인 블라우스 S242B260 118,130 원 ❄⏰⚔ 쉬즈미스 V넥 새틴 타이넥 블라우스 SWWBLN41050 20,030 원... 타이 디자인: 타이 형태의 넥라인은 여성스러움을 더해주고 다양한 스타일로 연출할 수 있어... </t>
  </si>
  <si>
    <t>blog.naver.com/ofairly</t>
  </si>
  <si>
    <t>https://blog.naver.com/ofairly/224062188514</t>
  </si>
  <si>
    <t>ofairly</t>
  </si>
  <si>
    <t>쉬즈미스 소프트 새틴 타이 블라우스_SWWBLP32020 알뜰순위!
좋은 하루입니다~ 혜택러입니다. 오늘 하루 뜻깊게 보내세요!
이번 주 알아볼 상품은 쉬즈미스 소프트 새틴 타이 블라우스_SWWBLP32020 입니다
주요 기능과 가성비 꿀팁을 한 번에 확인할 수 있습니다.
우선 간단한 요약을 보고
그 다음에 자세한 설명을 참고하세요.
⬛ 아직 특가중인지 아래에서 확인하세요
🔽 🔽 🔽
❄⏰⚔
쉬즈미스 소프트 새틴 타이 블라우스_SWWBLP32020
71,200 원
❄⏰⚔
사틴 단추장식 단정한 셔츠 블라우스 11246066
41,480 원
❄⏰⚔
사틴 여성용 블라우스 상의 턴다운 칼라 긴팔 단추 루즈 셔츠 BSKJ0301YT 용수철 가을
19,040 원
❄⏰⚔
사틴 스퀘어 넥 리본 포인트 블라우스/S243M252
80,510 원
❄⏰⚔
사틴 셔링 핏라인 블라우스 S242B260
118,130 원
❄⏰⚔
쉬즈미스 V넥 새틴 타이넥 블라우스 SWWBLN41050
20,030 원
# 쉬즈미스 소프트 새틴 타이 블라우스_SWWBLP32020 리뷰
안녕하세요! 오늘은 요즘 많은 사람들에게 사랑받고 있는 쉬즈미스의 소프트 새틴 타이 블라우스, 모델 번호 SWWBLP32020에 대해 이야기해보려고 해요.
이 블라우스는 고급스러운 새틴 소재로 제작되어 피부에 부드럽게 감기는 느낌을 주는 것이 특징이에요. 여기에 스타일리시한 타이 디자인이 더해져 어떤 자리에서도 세련된 이미지를 연출할 수 있습니다.
제품 스펙 및 성능
쉬즈미스 소프트 새틴 타이 블라우스는 주로 폴리에스터와 스판덱스 혼합 소재로 제작되어 내구성이 뛰어나고 신축성이 좋습니다.
이 블라우스는 다음과 같은 스펙을 가지고 있습니다:
- 소재: 95% 폴리에스터, 5% 스판덱스
- 핏: 루즈핏
- 사이즈: S, M, L
- 색상: 다양한 색상으로 제공
주요 특징
1. 부드러운 새틴 소재: 피부에 자극 없이 부드럽게 착용할 수 있으며, 흐르는 느낌이 매우 우아합니다.
2. 타이 디자인: 타이 형태의 넥라인은 여성스러움을 더해주고 다양한 스타일로 연출할 수 있어 유용합니다.
3. 루즈핏: 자유로운 활동을 보장하며 체형 구애 없이 누구나 편안하게 입을 수 있는 핏입니다.
4. 다양한 스타일링 가능: 블라우스 자체가 포인트가 되어 단순한 팬츠에 매치해도 멋스럽고, 스커트와도 잘 어울려 다양한 스타일링이 가능합니다.
5. 유행을 타지 않는 디자인: 클래식하면서도 세련된 디자인은 언제든지 활용할 수 있어 오랜 시간 동안 소장할 만한 가치가 있습니다.
이 제품이 필요한 사람들
- 서류 작업 중심의 직장인: 비즈니스 환경에서도 세련된 룩을 연출하고 싶으신 분들에게 적합합니다.
- 데이트나 모임에 나가는 여성들: 특별한 날이나 외출할 때 찰랑거리는 새틴 소재가 여러분의 매력을 더해줄 것입니다.
- 편안함을 중시하는 분들: 업무나 일상 속에서도 편안함을 잃고 싶지 않은 분들에게 적극 추천합니다.
- 유행에 민감한 분들: 꾸준히 변화하는 트렌드 속에서도 사용할 수 있는 클래식한 디자인을 원하시는 분들께 적합합니다.
자주 묻는 질문과 답변
Q1: 세탁은 어떻게 하나요?
A1: 손세탁이나 찬물 세탁을 추천합니다. 드라이클리닝도 가능하나, 자주 하지 않는 것이 좋습니다.
Q2: 사이즈는 어떻게 선택해야 하나요?
A2: 일반적인 사이즈로 제작되어 자신의 평소 착용 사이즈를 기준으로 선택하시면 됩니다. 다만, 루즈핏 스타일이라 한 사이즈 다운해도 좋습니다.
Q3: 타이 부분은 어떻게 묶어야 하나요?
A3: 기본적인 리본 형태로 묶는 것이 일반적이지만, 취향에 따라 다양한 방식으로 연출할 수 있습니다.
결론
쉬즈미스 소프트 새틴 타이 블라우스 SWWBLP32020은 부드럽고 편안한 착용감, 세련된 디자인, 다양한 스타일링 가능성 등 많은 장점을 갖추고 있습니다.
오래도록 사랑받을만한 요소를 다 갖춘 이 블라우스는 직장에서는 물론 데일리룩으로도 적극 추천드리는 아이템입니다.
여러분도 이 블라우스를 통해 한층 더 우아한 스타일을 즐겨보시길 바랍니다!
# 쉬즈미스 #블라우스 #패션 리뷰 #소프트 새틴 #서울 패션",
🔽 🔽 🔽
쉬즈미스 소프트 새틴 타이 블라우스_SWWBLP32020
이상으로 쉬즈미스 소프트 새틴 타이 블라우스_SWWBLP32020상품에대한 포스팅을 마치겠습니다.
좋은 하루 되세요~ 감사합니다.
출처-내돈내산 추천 블로그
-
쉬즈미스 소프트 새틴 타이 블라우스_SWWBLP32020 알뜰순위! 좋
재생
0
좋아요
0
00:31
쉬즈미스 소프트 새틴 타이 블라우스_SWWBLP32020 알뜰순위! 좋
.</t>
  </si>
  <si>
    <t>#블라우스, #패션, #소프트, #서울</t>
  </si>
  <si>
    <t>https://postfiles.pstatic.net/MjAyNTExMDJfOTUg/MDAxNzYyMDgwNTIyMzYz.lDbrp3mElm8eDN4dWwIPnuRvGgmxKoEm-ha_Y3UTB5sg.WcW7u-2J9c6G3nRGsAQXN0p_W3jh92CAND1IYN9oovYg.JPEG/000.jpg?type=w966|||https://blogger.googleusercontent.com/img/a/AVvXsEiUMG2ZEMyqWAt7Ik-EOQ2K_tssuMDIniQocYdoXSGp3dyTnr-ghyi_uh_JXz7sz9Axd-tFgtBQLTgKKaQb5JhtKY7R-BNQBIxqRM3jt4NcKkujR4Yvp5Xgyxk_CLjHz10qhiZdUG8aniW1xc5uiYXAAOJ2MtMad5UzKF8QIXBgy279rg_l3SAHhHz1obE|||https://image.enuri.info/webimage_300/27408500000/27408500000/27408501317|||https://blogger.googleusercontent.com/img/a/AVvXsEgXHmmZammJcj3z1q-TVuEKX5X9ufZG7YqX3V5Amo0m3RSMtI2219EUmnJANvPCeSwXmKhrC5aPmklkk9Dt3Rm0B_3nvHo2W1bbeXZhhLB73x1_mTbRQukERQfgbTJH34wAgr9e1ZNBhV7ZPuKjJ7Z2LJQ9pl93hSpUwEC1N-EyuQVAZz_ik-FW_bc4DAA|||https://image.enuri.info/webimage_300/23664800000/23664870000/23664873836.jpg|||https://blogger.googleusercontent.com/img/a/AVvXsEgXHmmZammJcj3z1q-TVuEKX5X9ufZG7YqX3V5Amo0m3RSMtI2219EUmnJANvPCeSwXmKhrC5aPmklkk9Dt3Rm0B_3nvHo2W1bbeXZhhLB73x1_mTbRQukERQfgbTJH34wAgr9e1ZNBhV7ZPuKjJ7Z2LJQ9pl93hSpUwEC1N-EyuQVAZz_ik-FW_bc4DAA|||https://image.enuri.info/webimage_300/19673000000/19673040000/19673041979|||https://blogger.googleusercontent.com/img/a/AVvXsEgXHmmZammJcj3z1q-TVuEKX5X9ufZG7YqX3V5Amo0m3RSMtI2219EUmnJANvPCeSwXmKhrC5aPmklkk9Dt3Rm0B_3nvHo2W1bbeXZhhLB73x1_mTbRQukERQfgbTJH34wAgr9e1ZNBhV7ZPuKjJ7Z2LJQ9pl93hSpUwEC1N-EyuQVAZz_ik-FW_bc4DAA|||https://image.enuri.info/webimage_300/23535700000/23535710000/23535717597.jpg|||https://blogger.googleusercontent.com/img/a/AVvXsEgXHmmZammJcj3z1q-TVuEKX5X9ufZG7YqX3V5Amo0m3RSMtI2219EUmnJANvPCeSwXmKhrC5aPmklkk9Dt3Rm0B_3nvHo2W1bbeXZhhLB73x1_mTbRQukERQfgbTJH34wAgr9e1ZNBhV7ZPuKjJ7Z2LJQ9pl93hSpUwEC1N-EyuQVAZz_ik-FW_bc4DAA|||https://photo3.enuri.info/data/images/service/dnw/master/121131000/121131184.jpg|||https://blogger.googleusercontent.com/img/a/AVvXsEgXHmmZammJcj3z1q-TVuEKX5X9ufZG7YqX3V5Amo0m3RSMtI2219EUmnJANvPCeSwXmKhrC5aPmklkk9Dt3Rm0B_3nvHo2W1bbeXZhhLB73x1_mTbRQukERQfgbTJH34wAgr9e1ZNBhV7ZPuKjJ7Z2LJQ9pl93hSpUwEC1N-EyuQVAZz_ik-FW_bc4DAA|||https://photo3.enuri.info/data/images/service/dnw/master/112553000/112553874.jpg|||https://blogger.googleusercontent.com/img/a/AVvXsEgXHmmZammJcj3z1q-TVuEKX5X9ufZG7YqX3V5Amo0m3RSMtI2219EUmnJANvPCeSwXmKhrC5aPmklkk9Dt3Rm0B_3nvHo2W1bbeXZhhLB73x1_mTbRQukERQfgbTJH34wAgr9e1ZNBhV7ZPuKjJ7Z2LJQ9pl93hSpUwEC1N-EyuQVAZz_ik-FW_bc4DAA|||https://blogger.googleusercontent.com/img/a/AVvXsEiUMG2ZEMyqWAt7Ik-EOQ2K_tssuMDIniQocYdoXSGp3dyTnr-ghyi_uh_JXz7sz9Axd-tFgtBQLTgKKaQb5JhtKY7R-BNQBIxqRM3jt4NcKkujR4Yvp5Xgyxk_CLjHz10qhiZdUG8aniW1xc5uiYXAAOJ2MtMad5UzKF8QIXBgy279rg_l3SAHhHz1obE|||https://blogger.googleusercontent.com/img/b/R29vZ2xl/AVvXsEhRKwjDgioft5d1zT8akXl9thPMMZpWn8XQEPxUV38eePAqMbfANmLxK3seEdSNywe-AuDq3fOz64q7OG2foRgdrwHJWJdABgBgxx2nYAStiS53OAniHROidUXRa-C0Gwyy171tsXMx4t0aAkNaVn76XyRTowVfL2kW96Bu61xGZB7t0MGMjVTf2nix/s320/%EC%A0%9C%ED%9C%B4%EB%AC%B8.jpg|||https://postfiles.pstatic.net/MjAyNTExMDJfMTMx/MDAxNzYyMDgwNTM5NzU3.ow9T95kvR4fXFU-eLdyfL7WRzRWdrEx_ia3HIIu2VGIg.VrhDvVxv0x1-HeEhtct9w34rcU0UQMH54ebNRW5XJGQg.JPEG/00.jpg?type=w80_blur|||https://postfiles.pstatic.net/MjAyNTExMDJfMTg0/MDAxNzYyMDgwNTM5Nzgw.lU8Ojc6xBnVhDHbu9pS9k9XqIljDk7DJzK-2uH4KOfQg.9NJHzeqr45UojsGjrBsyx0dr9gXQCnXNBb_q60wM2XEg.JPEG/0.jpg?type=w80_blur|||https://postfiles.pstatic.net/MjAyNTExMDJfMjI1/MDAxNzYyMDgwNTM5Nzgz.o5VlHDA3rpR10EM_9tmeHztECg_H507WcZcKLoqk-5wg.6fOA_rxGMVsSA8gaWTO3PGQRW-yXbEq7qiMmgSchUUwg.JPEG/1.jpg?type=w80_blur|||https://postfiles.pstatic.net/MjAyNTExMDJfMTQx/MDAxNzYyMDgwNTM5Nzgy.hdh2O14Gp1XCm3dNlpmwgZytsDtaURr4QdXB7blhtMYg.6uPM_kGh7PAy7i15VkgtCmZTNdfzPXa4bJeCgiuvmvUg.JPEG/2.jpg?type=w80_blur</t>
  </si>
  <si>
    <t>간호사 면허 후 진로 총정리 💉｜보건교사·산.. : 네이버블로그</t>
  </si>
  <si>
    <t xml:space="preserve">오래 서있고 걷는 의료인에게 강력추천하는 압박스타킹 간호사 제작한 [핏라인 압박스타킹] https://bit.... 진입 방법 사업자 등록 후 온라인 플랫폼(SNS·스마트스토어 등) 활용. 장점: 자유로운 근무환경, 자기... </t>
  </si>
  <si>
    <t>blog.naver.com/bbonurse</t>
  </si>
  <si>
    <t>https://blog.naver.com/bbonurse/224059882528</t>
  </si>
  <si>
    <t>bbonurse</t>
  </si>
  <si>
    <t>간호사 면허증 취득 후, 어떤 간호사가 될 것인가?
임상 외에도 펼쳐진 간호사의 다양한 진로와 현실 정보 총정리 💉
간호사 면허를 손에 넣은 당신,
“병원 말고 다른 길은 없을까?”
이런 생각 한 번쯤 해보셨죠?
간호사 면허로 갈 수 있는 길은 생각보다 훨씬 많습니다.
보건교사, 산업간호사, 연구간호사, 제약·의료기기 전문가, 공공보건, 교육강사, 프리랜스 창업까지—
각 분야별로 무엇을 하는지, 어디서 일하는지, 연봉은 어떤지, 어떻게 준비하는지를 정리해봤어요.
AI 활용
🩺 1. 임상 간호사 (병동·중환자실·수술실 등)
무엇을 하나요?
환자 간호, 약물 투여, 모니터링, 시술 보조, 드레싱 관리 등 병동과 부서별 전문 역할을 맡습니다.
근무지
대학병원, 종합병원, 요양병원, 의원 등.
진입 방법
간호사 면허 취득 후 신규간호사 채용 → 수습·오리엔테이션 → 병동 배치.
급여
2025년 기준, 대학병원 신규 간호사의 초봉은 약 4,200~4,500만 원대,
중소병원이나 요양병원은 3천만 원대 중반 수준입니다.
(교대·야간 수당 포함 시 차이 큼)
장점: 임상 스킬 향상, 전문간호사 진출 기반
단점: 교대근무·업무강도 높음
준비 팁: BLS, IV, 드레싱, EMR 문서 능력 등 기본 술기 필수
🏫 2. 보건교사 (학교 보건)
무엇을 하나요?
학생들의 건강관리, 응급처치, 보건교육, 감염예방 관리 등 학교의 보건실을 운영합니다.
근무지
초·중·고등학교(공·사립).
진입 방법
간호사 면허 + 교직 이수 또는 교원자격 요건 충족 후,
보건교사 임용시험에 응시해야 합니다.
(보건복지부 및 교육부 자격 기준 참고)
급여
교원 호봉제 기준에 따라 지급되며, 일반 교사와 유사한 수준입니다.
장점: 주간근무, 안정적인 복지, 교직생활
단점: 교직이수·임용 경쟁 필요
준비 팁: 응급처치 자격, 보건교육 관련 강의·연수 추천
AI 활용
🏭 3. 산업간호사 (기업체·산업현장)
무엇을 하나요?
직장 근로자의 건강검진 관리, 직업병 예방, 응급대응, 산업안전보건교육 등을 담당합니다.
근무지
대기업, 공공기관, 제조업체, 근로자건강센터 등.
진입 방법
간호사 면허 취득 후 산업체 채용 공고 지원.
‘보건관리자’ 자격이 함께 요구되는 경우도 있습니다.
급여
신입 기준 약 2,800만 원~3,500만 원대,
대기업은 4,000만 원 이상도 가능하며,
야간근무가 없어 워라밸이 좋은 편입니다.
장점: 주5일 근무, 복지 우수
단점: 응급·산업재해 상황 대응 필요
준비 팁: 산업보건 관련 교육 수료, 보건관리자 자격증, 응급처치 자격
🔬 4. 연구간호사 / 임상연구 코디네이터 (CRC)
무엇을 하나요?
임상시험 참여 환자 관리, 동의서 절차, 데이터 입력, 시험약 관리, 연구윤리 준수 확인 등.
근무지
대학병원 임상시험센터, 제약회사, CRO(임상시험수탁기관).
진입 방법
간호사 면허 후 병원 또는 CRO에서 CRC로 입문,
GCP(임상시험관리기준) 교육 수료 시 취업에 유리합니다.
급여
신입 기준 연 2,500~3,000만 원대,
경력자 및 병원 규모에 따라 4천만 원 이상 가능.
장점: 교대·야근 없음, 연구 중심 근무
단점: 문서·데이터 중심 업무, 초기 연봉 낮음
준비 팁: GCP 교육 수료, 의학논문 독해, 데이터 입력 능력
AI 활용
💊 5. 제약·의료기기·CRA 분야
무엇을 하나요?
임상시험 모니터링(CRA), 약물 안전성 관리(PV), 학술 지원(MA), 의료기기 임상팀 등 다양한 직무가 있습니다.
근무지
제약회사, 의료기기 회사, CRO 등.
진입 방법
임상·연구 경력 또는 관련 자격 후 제약사 채용 지원.
영어·문서 업무 능력이 중요합니다.
급여
중견·대기업 기준으로 연 3,500만~6,000만 원대 이상 다양.
장점: 전문성·비임상 커리어 확장
단점: 높은 문서·규제 이해도
준비 팁: GCP, 약사법, 임상문서 작성법, 영어 독해
🏢 6. 공공보건·보건행정 (보건소·공공기관)
무엇을 하나요?
감염병 관리, 예방접종, 건강검진, 보건사업 기획, 지역사회 보건교육 등.
근무지
보건소, 국민건강보험공단, 심사평가원, 지방자치단체 등.
진입 방법
간호직·보건직 공무원 시험 또는 공공기관 채용을 통해 진입.
급여
공무원 급여체계 기준으로 안정적이며, 복리후생이 우수합니다.
장점: 정년 보장, 안정성
단점: 공무원 시험 준비 필요
준비 팁: 지역사회보건·보건행정 공부, 공무원 과목(보건행정·보건의약관계법규) 대비
간호사 필수 의료템!
오래 서있고 걷는 의료인에게
강력추천하는 압박스타킹
간호사 제작한 [핏라인 압박스타킹]
https://bit.ly/682c1c8fab37d3625243b994
핏라인 의료용 압박스타킹 종아리 다이어트 릴렉스 압박밴드 혈액순환 붓기 개선 : 뽀너스
종아리 붓기! 관리 안하면 큰일나요!! 핏라인 의료용 압박스타킹 종아리 다이어트 릴렉스 압박밴드 혈액순환 붓기 개선
bit.ly
🎓 7. 교육·강의·간호학원 강사
무엇을 하나요?
간호대 강의, 병원 내 교육담당, 간호자격시험 강의, 실습지도 등.
근무지
대학, 간호학원, 교육기관, 병원 교육부.
진입 방법
임상경력 + 교육경력 또는 석사학위 이상 보유 시 강사 진출 가능.
급여
교육기관 규모·강의시간에 따라 다름(프리랜스 강사 단가 or 정규직 급여).
장점: 지식 전달, 전문성 활용
단점: 안정적인 일거리 확보 어려움
준비 팁: 강의 포트폴리오, PT 기술, 커뮤니케이션 능력
💼 8. 프리랜스·창업 간호사
무엇을 하나요?
간호 관련 콘텐츠(블로그·유튜브), 간호용품 개발·판매, 강의·컨설팅 등 다양합니다.
진입 방법
사업자 등록 후 온라인 플랫폼(SNS·스마트스토어 등) 활용.
장점: 자유로운 근무환경, 자기 브랜딩
단점: 초기비용·운영 부담
준비 팁: SNS 마케팅, 콘텐츠 기획력, 사업운영 기초
📚 9. 간호사에게 유용한 자격증 &amp; 스킬
임상 관련: BLS, ACLS, 감염관리, 상처치료
연구 관련: GCP(임상시험 실무), 통계기초, 데이터 관리
보건 관련: 보건교육사, 산업보건관리자
커뮤니케이션: PT·보고서 작성, 영어 논문 읽기
간호사는 병원 안에서만 일하는 직업이 아닙니다.
보건, 연구, 산업, 교육, 창업 등
당신의 라이프스타일과 가치관에 맞는 길을 선택할 수 있어요.
작은 자격증 하나, 한 번의 경험이
커리어의 방향을 완전히 바꿔줄 수도 있습니다.
지금 ‘내가 어떤 간호사가 되고 싶은가’를 생각해보세요.
답은 이미 당신의 손 안, 간호사 면허증 안에 있습니다. 💙</t>
  </si>
  <si>
    <t>https://postfiles.pstatic.net/MjAyNTEwMzFfMzEg/MDAxNzYxODc3ODgzNDA2.N6Pl3CUkq-KJbCCSmCqG5JLYojBJbzWjwS1ES3homYQg.ucW_G8LWtoMhZdTxEZam3TLP09GWHTP5cUr1QP2sPGQg.JPEG/Image_fx_(2).jpg?type=w80_blur|||https://postfiles.pstatic.net/MjAyNTEwMzFfMjQ0/MDAxNzYxODc3OTQ4NDI5.gyV1wrfUQtu0_P-ZbHVu1GTQ9c0nMwBsVz5LxTzTNT0g.SyiMrdydbPSM05_eHMsrfH25FKs-8VBNFw6MFTP4uz8g.JPEG/Image_fx_(3).jpg?type=w80_blur|||https://postfiles.pstatic.net/MjAyNTEwMzFfMjIg/MDAxNzYxODc4MDU3NTI1.znHGhrlE-pZTd9KuZga3UYpMw5iqft1-8fGM4zfQOhkg.Gh0lmYTyGkZFLlP6zWcP8jLukmO17pgcm4oHCq26-7Ig.JPEG/Image_fx_(4).jpg?type=w80_blur|||https://dthumb-phinf.pstatic.net/?src=%22https%3A%2F%2Fshop-phinf.pstatic.net%2F20251024_105%2F1761273005932y6piv_PNG%2F95405972750819478_1561937741.png%22&amp;type=ff500_300|||https://storep-phinf.pstatic.net/ogq_5747936e7d55d/original_16.png?type=p100_100</t>
  </si>
  <si>
    <t>하는</t>
  </si>
  <si>
    <t>창원피티 추천 암풀다운으로 등 넓히는 최신 루.. : 네이버블로그</t>
  </si>
  <si>
    <t>팔꿈치는 과하게 펴지 않고 살짝 굽힌 상태에서, 바를 골반 라인까지 당기면 됩니다. 이때 팔로... DM 카카오톡 문의 #암풀다운 #등운동 #광배근운동 #도계동피티 #창원피티 #헬스트렌드 #상체운동 #핏라인만들기</t>
  </si>
  <si>
    <t>blog.naver.com/ballpig</t>
  </si>
  <si>
    <t>https://blog.naver.com/ballpig/224058821875</t>
  </si>
  <si>
    <t>ballpig</t>
  </si>
  <si>
    <t>안녕하세요 창원 피티 도계동 굿바디운동센터
트레이너 김상영입니다.
오늘은 넓고 입체적인 등을 만들고 싶은
분들에게 추천하는 암풀다운(arm pull down)을
주제로, 창원피티에서 쌓은 현장 경험과 트렌드를
기반으로 자세하게 작성해봅니다.
특히 최근 등운동 루틴에서 암풀다운이
첫 번째로 선행되는 이유와 구체적인 루틴까지
함께 설명드릴게요.
암풀다운, 넓은 등의 시작
암풀다운은 등 근육 중 광배근을
집중적으로 자극하는 대표 운동입니다.
이 근육이 발달하면 상체가 넓어지면서
허리는 상대적으로 더 가늘어 보이는
"V자 체형"이 제대로 살아나죠.
최근 트렌드는 등 운동 시작에서
암풀다운을 먼저 배치해,
혈액을 원활히 공급하고
등 전체의 움직임을 부드럽게
만들어주는 선행운동으로
적극적으로 활용한다는 것입니다.
구체적인 효과와 과학적 근거
선행 운동(Pre-exhaustion)의 개념과 효과
암풀다운을 등운동 루틴의 첫 번째에 배치하는 것은 선행 운동(Pre-exhaustion) 전략에 해당합니다.
2025년 Brad Schoenfeld 연구팀의
연구에서는 8주간 선행 운동 프로토콜을
적용한 결과, 전통적인 훈련과
유사한 근비대 및 근력 증가 효과를 보였으나,
운동 시간이 36% 단축되고 총 운동량은
30% 감소했습니다.
이는 선행 운동이 시간 효율성 측면에서
유리함을 시사합니다.
혈액 공급 및 근육 활성화(워밍업 효과)
등운동 루틴의 첫 번째로 암풉다운을
배치하면 광배근으로의 혈액 공급이 증가하고,
마인드-머슬 커넥션
(Mind-Muscle Connection)이 향상됩니다.
Snyder &amp; Leech의 연구에서는
훈련받지 않은 개인도 특정 근육에
의식적으로 집중하면 해당 근육의 활성도를
자발적으로 증가시킬 수 있음을 보여주었습니다.
정리하면
선행 운동 효과: 암풀다운을 첫 번째로 수행하면
광배근이 먼저 활성화되고,
이후 복합운동(예: 랫풀다운, 바벨로우)에서
광배근 개입이 증가합니다.
혈액 공급 및 마인드-머슬 커넥션: 루틴 첫 단계에서 가벼운 고립운동을 수행하면 혈액 순환이 촉진되고, 목표 근육에 대한 신경근 연결이 강화됩니다.
시간 효율성: 선행 운동은 전체 운동 시간을 단축하면서도 유사한 근비대 효과를 낼 수 있습니다.
암풀다운의 올바른 자세와 운동 포인트
등 운동에서 이 동작을 잘 수행하기 위해서는
몇 가지 자세 포인트가 중요합니다.
암풀다운(Arm pull down)
재생
1
좋아요
0
00:11
접기/펴기
등운동 암풀다운
케이블에 일자바나 로프를 장착하고, 그립은 어깨보다 약간 넓게 잡습니다.
상체는 30~45도 정도 숙이고, 허리는 중립을 유지하며, 가슴은 펴줍니다.
팔꿈치는 과하게 펴지 않고 살짝 굽힌 상태에서, 바를 골반 라인까지 당기면 됩니다.
이때 팔로 당긴다기보다 광배근에 힘을 주고 견갑골을 하강·내전시키는 느낌이 중요합니다.
무릎을 살짝 구부리고 골반을 약간 빼주면 경직 없이 부드럽게 반복할 수 있습니다.
&lt;올바른 암풀다운 자세 팁&gt;
팔을 직선으로 내리지 말고,
견갑에 집중해 바를 아래로 원을
그리듯 당겨줘야 등 전체가 자극됩니다.
초보자는 특히 무게 욕심보다 동작에
집중하면 최대 효과를 볼 수 있습니다.
회수·세트수와 루틴 구성
암풀다운은 등 루틴 중 어디에
넣어도 훌륭하지만,
첫 운동으로 배치해 등 전체에
혈액 공급을 촉진하는 것이 최근 트렌드입니다.
아래는 창원피티에서 실제 사용하는 루틴입니다.
초급자: 12~15회 × 3세트
(균형잡힌 자세와 자극감을 느끼는 데 집중)
숙련자: 15~20회(1~2세트),
12~15회(3~4세트),
10~12회(5세트)
무게를 점진적으로 높여 구성(총 5세트)
세트간 45~60초 휴식이 가장 보편적입니다.
무게보다는 반복수와 자극의 정확성에
집중하도록 하세요. .
운동 Q&amp;A (초보자 궁금증)
Q: 암풀다운 중 다른 근육에 힘이 들어가는 것 같아요.
A: 등(광배근)에 집중해, 팔꿈치는 약간 굽히고 팔로만 당기지 않아야 합니다. 등 전체가 뻐근하게 수축되는 감각을 의식하세요.
Q: 처음엔 무거운 무게를 들어야 하나요?
A: 절대 아닙니다. 너무 무거우면 팔이나 어깨에 부담만 커집니다. 나에게 맞는 가벼운 무게로 15회 정도 충분히 동작이 나올 수 있는 수준에서 시작, 점차 천천히 증량하는 게 효과적입니다.
결론: 입체적이고 건강한 등, 꾸준함에서 온다
암풀다운은 넓은 등과 균형 잡힌 몸매,
바른 자세 교정까지 도와주는
최고의 필수운동입니다.
창원피티에서는 루틴의 첫 시작에
암풀다운을 꼭 넣어 회원들에게 체형별,
목표별 맞춤 등운동 전략을 제공합니다.
남들과 비교하지 말고, 자신의 몸과 목표에 맞게
천천히 반복하다 보면 어느새 탄탄한 등과
바른 자세, 넓어진 어깨로 변화된 자신을
만날 수 있습니다.
꾸준함이 최고의 결과를 가져온다는 점,
꼭 기억하세요.
창원 피티 문의는 아래를 클릭해 주세요!!
☎ 문의 : 010 8612 8558
인스타 DM
카카오톡 문의
50m
© NAVER Corp.
GoodBody운동센터
경상남도 창원시 의창구 도계로4번길 28 5층 굿바디운동센터
#암풀다운 #등운동 #광배근운동 #도계동피티 #창원피티 #헬스트렌드 #상체운동 #핏라인만들기</t>
  </si>
  <si>
    <t>#암풀다운, #등운동, #광배근운동, #도계동피티, #창원피티, #헬스트렌드, #상체운동, #핏라인만들기</t>
  </si>
  <si>
    <t>https://postfiles.pstatic.net/MjAyNTEwMzBfMTc2/MDAxNzYxNzk5Mzc5Nzc4.yKfYkEEQuJpOM4PJSb19wqkPSNZkcnLUZPNhUM0DxT8g.iwHz4oNtGvofWR_rcgKoqXX1dBwkc2stFgn7DV10HBog.PNG/xllbmus9746w2mt.png?type=w80_blur|||https://postfiles.pstatic.net/MjAyNTEwMzBfMTMx/MDAxNzYxNzk5MTI1MTY2.Omxzbah1-CmJ1LHQab3dBqf4KlTvaO_d10HafaYSpIYg.XWtIIuDm0cBFYVcIJ0QGSOdC0yhl2WdHybF4-QdRncwg.PNG/%EC%95%94%ED%92%80%EB%8B%A4%EC%9A%B41.png?type=w80_blur|||https://postfiles.pstatic.net/MjAyNTEwMzBfMTIy/MDAxNzYxNzk5MTI1MTgw.UHNhnandLjcTYPyD4MUepYOUCHaftw9cEKpNbyv8FvIg.J-WBZETLjJBAppGXWrOOqvqSFWuWEbHf-vL7Su2lFdIg.PNG/%EC%95%94%ED%92%80%EB%8B%A4%EC%9A%B412.png?type=w80_blur|||https://postfiles.pstatic.net/MjAyNTEwMzBfMTI1/MDAxNzYxNzk5MTI1MTEw.tCYin3tSKj-xMcQ6uFDTMUy-LG8vNv5eni13KxEOh6sg.feAIRaW1XFaW0eMwo7GpinyX3egmBdYxEDU43wQtWDYg.PNG/%EC%95%94%ED%92%80%EB%8B%A4%EC%9A%B4.png?type=w80_blur|||https://postfiles.pstatic.net/MjAyNTEwMjhfMjIx/MDAxNzYxNjM0NjUxNzgw.Shjjw3twTQswJSG-yetNDXRlPYvdiquUIxHKO_ywmbIg.PLMQs0zLy0NyrDKPkc9erW-_1iFPsIoTM47-g_TSTGQg.PNG/free-icon-instagram-1409946.png?type=w80_blur|||https://postfiles.pstatic.net/MjAyNTEwMjhfOTYg/MDAxNzYxNjM0NjUyMTI5.gSmL5ljEDK21dssH-sQiWel-qOkXYk90KK2q0l3fmjgg.Z97X7b9QPI4bQa9XpHpfk8fGxb5PGRvGtAM4mhsWeWEg.PNG/kakao-talk.png?type=w80_blur|||https://map.pstatic.net/nrb/styles/basic/1761871134/17/112370/51802.png?mt=bg.ol.sw.ar.lko|||https://map.pstatic.net/nrb/styles/basic/1761871134/17/112370/51803.png?mt=bg.ol.sw.ar.lko|||https://map.pstatic.net/nrb/styles/basic/1761871134/17/112370/51801.png?mt=bg.ol.sw.ar.lko|||https://map.pstatic.net/nrb/styles/basic/1761871134/17/112371/51801.png?mt=bg.ol.sw.ar.lko|||https://map.pstatic.net/nrb/styles/basic/1761871134/17/112369/51803.png?mt=bg.ol.sw.ar.lko|||https://map.pstatic.net/nrb/styles/basic/1761871134/17/112371/51802.png?mt=bg.ol.sw.ar.lko|||https://map.pstatic.net/nrb/styles/basic/1761871134/17/112369/51802.png?mt=bg.ol.sw.ar.lko|||https://map.pstatic.net/nrb/styles/basic/1761871134/17/112371/51803.png?mt=bg.ol.sw.ar.lko|||https://map.pstatic.net/nrb/styles/basic/1761871134/17/112369/51801.png?mt=bg.ol.sw.ar.lko|||https://map.pstatic.net/nrb/styles/basic/1761871134/17/112372/51801.png?mt=bg.ol.sw.ar.lko|||https://map.pstatic.net/nrb/styles/basic/1761871134/17/112368/51803.png?mt=bg.ol.sw.ar.lko|||https://map.pstatic.net/nrb/styles/basic/1761871134/17/112372/51802.png?mt=bg.ol.sw.ar.lko|||https://map.pstatic.net/nrb/styles/basic/1761871134/17/112368/51802.png?mt=bg.ol.sw.ar.lko|||https://map.pstatic.net/nrb/styles/basic/1761871134/17/112372/51803.png?mt=bg.ol.sw.ar.lko|||https://map.pstatic.net/nrb/styles/basic/1761871134/17/112368/51801.png?mt=bg.ol.sw.ar.lko|||https://editor-static.pstatic.net/c/resources/common/img/common-icon-places-marker-x2-20180920.png|||https://ssl.pstatic.net/static/maps/mantle/1x/new-scale-normal-b.png|||https://ssl.pstatic.net/static/maps/mantle/1x/new-scale-normal-l.png|||https://ssl.pstatic.net/static/maps/mantle/1x/new-scale-normal-r.png|||https://ssl.pstatic.net/static/maps/mantle/1x/zoom-in-small-normal.png|||https://ssl.pstatic.net/static/maps/mantle/1x/zoom-handle.png|||https://ssl.pstatic.net/static/maps/mantle/1x/zoom-out-small-normal.png|||https://ssl.pstatic.net/static/maps/mantle/1x/zoom-legend-left-on.png|||https://ssl.pstatic.net/static/maps/mantle/1x/zoom-legend-left-normal.png|||https://ssl.pstatic.net/static/maps/mantle/1x/zoom-legend-left-normal.png|||https://ssl.pstatic.net/static/maps/mantle/1x/zoom-legend-left-normal.png|||https://ssl.pstatic.net/static/maps/mantle/1x/zoom-legend-left-normal.png|||https://ssl.pstatic.net/static/maps/mantle/1x/zoom-legend-left-normal.png|||https://simg.pstatic.net/static.map/v2/map/staticmap.bin?caller=smarteditor&amp;markers=pos%3A128.6347306%2035.2572777%7CviewSizeRatio%3A0.7%7Ctype%3Ad%7Ccolor%3A0x11cc73%7Csize%3Amid&amp;w=700&amp;h=315&amp;scale=2&amp;dataversion=174.01</t>
  </si>
  <si>
    <t>010-8612-8558</t>
  </si>
  <si>
    <t>블리핏 요가복 상의 여성용 편안함과 스타일을 .. : 네이버블로그</t>
  </si>
  <si>
    <t xml:space="preserve">저도 요가를 할 때 유연성과 부드러움이 중요하다고 생각하기 때문에, 블리핏 티셔츠의 핏라인 설계는... 기본적인 반팔 스타일에 깔끔한 라인이 더해져 캐주얼한 룩으로도 손색이 없어서, 여러 상황에서... </t>
  </si>
  <si>
    <t>blog.naver.com/cvnitoonqvw2442</t>
  </si>
  <si>
    <t>https://blog.naver.com/cvnitoonqvw2442/224058002051</t>
  </si>
  <si>
    <t>cvnitoonqvw2442</t>
  </si>
  <si>
    <t>이미지출처-쿠팡
↑제품상세보기↑
블리핏 요가복 상의는 여성들이 운동할 때
편안함과 스타일을 동시에 챙길 수 있도록
세심하게 설계된 제품이에요.
필라테스나 요가와 같은 운동 중에도 신체의
자유로운 움직임을 방해하지 않으면서도 세련된
디자인을 유지하는 것이 이 티셔츠의 핵심이라
정말 매력적이에요.
운동의 특성에 맞춰 최적화된 기능 덕분에 많은
여성에게 사랑받는 아이템이 될 것 같아요.
그리고 편안한 착용감과 뛰어난 통기성이 이
제품의 큰 장점이에요.
부드러운 소재로 만들어져서 피부에 자극이
덜하고, 운동 중에도 쾌적함을 유지해줘요.
특히 혼합 소재로 신축성이 뛰어나 다양한
동작을 소화할 수 있다는 점이 마음에 들어요.
저도 요가를 할 때 유연성과 부드러움이
중요하다고 생각하기 때문에, 블리핏 티셔츠의
핏라인 설계는 정말 훌륭한 선택인 것 같아요.
뿐만 아니라 통기성이 뛰어난 원단 덕분에 운동
중 발생하는 땀과 열을 효과적으로
배출해주니까, 여름철이나 고강도의 운동에서도
쾌적하게 유지할 수 있어요.
이러한 특성 덕분에 요가와 필라테스에 집중할
수 있는 환경을 만들어줘서 좋더라고요.
이 티셔츠는 운동 외에도 다양한 일상에서
활용할 수 있는 실용적인 디자인을 가지고
있어요.
기본적인 반팔 스타일에 깔끔한 라인이 더해져
캐주얼한 룩으로도 손색이 없어서, 여러
상황에서 편리하게 착용할 수 있어요.
저도 이런 활용도가 높은 아이템을 좋아하는데,
특히 다양한 컬러 옵션이 있는 점이
매력적이에요.
단조로운 운동복이 지루하게 느껴질 때,
색상으로 다양한 분위기를 연출할 수 있다는
점은 정말 큰 장점이죠.
활동적인 라이프스타일을 지향하는 여성들에게
블리핏 요가복 상의는 필수 아이템이 될 것
같아요.
운동뿐만 아니라 일상에서도 편안하고
스타일리시하게 입을 수 있으니까요.
그리고 지속적으로 활동할 수 있는 것은 신체
건강 유지에도 중요하기 때문에, 이 티셔츠는
그런 면에서도 긍정적인 역할을 할 거예요.
마지막으로, 과학적으로 설계된 제품인 만큼
다양한 신체 조건을 가진 여성들도 충분히
만족할 수 있는 특징을 갖추고 있어요.
요가와 필라테스를 즐길 때 편안함을 느낄 수
있도록 도와주고, 일상에서도 손쉽게 활용
가능한 디자인이라 더욱 가치가 높아요.
블리핏 요가복 상의는 운동을 사랑하는
여성들뿐만 아니라, 편안하면서도 스타일을
놓치고 싶지 않은 모든 이들에게 훌륭한 선택이
될 거예요.
이렇게 운동과 일상에서 편안함을 찾을 수 있는
기회를 제공하는 제품이라니, 저도 꼭 한 번
입어보고 싶어요.
블리핏 요가복 상의 여성용 편안함과 스타일을 담다
재생
0
좋아요
0
00:04
블리핏 요가복 상의 여성용 편안함과 스타일을 담다</t>
  </si>
  <si>
    <t>https://blogfiles.pstatic.net/MjAyNTEwMjlfMTYz/MDAxNzYxNzMxMTg3Nzgz.dcTMXook_Vq56RHJ9TBQtHLQoab9v-fOHcTP0a2D20cg.wPWRq430g7Bzd9VWRINfxgPvpVsGVJa8VUFHGyOeFg0g.JPEG/01.jpg?type=w1|||https://storep-phinf.pstatic.net/motion2d_01/original_21.png?type=p100_100|||https://storep-phinf.pstatic.net/motion2d_01/original_20.png?type=p100_100</t>
  </si>
  <si>
    <t>https://mblogvideo-phinf.pstatic.net/MjAyNTEwMjlfMjcw/MDAxNzYxNzMxMjM3NDAw._fp27W9xIq4W_irfRWcCPU8ZiA_SHxIhcbU1rgBRN0sg.ajgPaWjF3tEFy-sj8THYs1vvc_2fEuG3nKtai871tHgg.GIF/02.gif?type=mp4w800</t>
  </si>
  <si>
    <t>임상 간호사가 직접 추천하는 압박스타킹 고르는.. : 네이버블로그</t>
  </si>
  <si>
    <t xml:space="preserve">다리 라인 유지 + 컨디션 회복 속도 향상 “퇴근길 다리가 훨씬 가볍다”는 간호사 후기 다수!... 임상경력 간호사가 직접 추천 – 뽀너스 압박스타킹 '핏라인 압박스타킹' 제가 직접 근무하며 사용해본... </t>
  </si>
  <si>
    <t>https://blog.naver.com/bbonurse/224057727561</t>
  </si>
  <si>
    <t>교대근무, 긴 수술 대기, 반복적인 서기와 이동…
하루 종일 다리가 피곤한 건 익숙한 이야기죠.
저처럼 오래 서서 근무하는 간호사에게 압박스타킹은
단순 패션이 아니라 필수템이에요.
AI 활용
🧦 1. 압박 강도(Compression Level) 선택이 가장 중요!
압박스타킹의 강도는 mmHg(밀리미터수은주) 로 표시되고,
1mmHg ≈ 0.133kPa 로 환산돼.
즉, 아래와 같이 볼 수 있어 👇
압박 강도
압력(kPa)
권장 대상
특징
10~15mmHg
1.3~2.0kPa
가벼운 피로, 예방법용
착용감이 부드럽고 초보자용
15~25mmHg
2.0~3.3kPa
장시간 서있는 직업군 (간호사, 교사 등)
부종·피로 예방에 효과적
25~35mmHg 이상
3.3~4.6kPa
정맥류, 순환장애 환자
의료용
👖 2. 형태별로 다른 착용감 — 길이 선택 팁
형태
특징
추천 상황
무릎길이 (Knee-high)
착용 간편, 통기성 좋음
병동 근무 시 기본 추천
허벅지길이 (Thigh-high)
넓은 부위 압박, 말림 주의
부종이 심하거나 장시간 근무
팬티스타킹형 (Full)
다리 전체 + 엉덩이까지 압박
겨울철, 순환개선 중점 착용 시
✔️ 병원에서는 무릎 길이형이 실용성과 편의성 모두 우수해.
🌙 3. 수면 중 착용해도 될까?
⛔ 수면 시 착용은 비추천!
자는 동안엔 다리가 심장보다 높아져 자연히 혈류가 순환돼.
이때 압박스타킹을 착용하면 불필요한 압박으로 인해
혈류 장애, 저림, 통증이 생길 수 있어.
✅ 착용 권장: 근무 중 / 이동 중 / 비행기 탑승 시
❌ 착용 금지: 수면 중
🧦 압박스타킹 세탁 방법
1. 손세탁이 가장 안전
미지근한 물(30~40℃) 사용
중성세제나 울세제 추천
세탁기 사용 시 세탁망에 넣고, 울·약하게 모드로 단독 세탁
2. 세탁 순서
스타킹을 뒤집어서 세탁
손으로 부드럽게 눌러 세제와 섞음
5~10분 정도 담근 후 가볍게 주물러 때 제거
물로 충분히 헹굼
짜지 않고, 수건으로 눌러 물기 제거
3. 건조 방법
직사광선 피하고, 그늘에서 자연건조
옷걸이에 걸기보다는 평평하게 놓고 건조 추천
건조기, 다리미, 표백제 사용 금지 (압박력 손상)
4. 관리 팁
하루 착용 후 통풍 잘 되는 곳에서 보관
세탁은 2~3회 착용 후 한 번 정도
오래된 압박스타킹은 압박력 감소로 교체 필요
💡 한 줄 요약:
“손세탁 + 그늘건조 + 표백·열 금지”가 **압박스타킹 수명과 압박력 유지의 핵심 포인트야.
🩶 4. 올바른 착용 방법
아침, 다리 붓기 전 착용하기
주름 없이 균일하게 펼쳐 신기
손톱·반지로 원단 손상 주의
세탁은 미지근한 물 + 중성세제
하루 착용 후 통풍이 잘 되는 곳에서 건조
💡 2켤레 이상 번갈아 사용하면 압박력 유지가 오래가!
💪 5. 간호사에게 주는 실제 효과
💨 순환 개선 → 피로감 감소
🦵 퇴근 후 다리 붓기, 저림 완화에 도움
✨ 다리 라인 유지 + 컨디션 회복 속도 향상
“퇴근길 다리가 훨씬 가볍다”는 간호사 후기 다수!
교대근무자에게는 가장 현실적인 다리 케어템이야.
🌸 임상경력 간호사가 직접 추천 – 뽀너스 압박스타킹 '핏라인 압박스타킹'
제가 직접 근무하며 사용해본 결과,
뽀너스 의료용 압박스타킹은
부위별로 2 kPa ~ 4.5 kPa 단계 압박 설계
의료기기 1등급으로 장시간 착용에도 편안
통기성이 좋아 하루 종일 답답하지 않음
“퇴근 후에도 다리가 한결 가볍다”는 경험을 매일 느끼고 있어요.
장시간 서 있는 신경외과·중환자실·수술실 간호사나 움직임이 많은 액팅간호사라면 꼭 한 번 써보시길 추천합니다.
지금 1+1 행사도 하고 있으니,
2개 구매해서 선물하거나 세탁 시 번갈아가면서
오래 착용하시면 좋을것 같아요!
https://bit.ly/682c1c8fab37d3625243b994
핏라인 의료용 압박스타킹 종아리 다이어트 릴렉스 압박밴드 혈액순환 붓기 개선 : 뽀너스
종아리 붓기! 관리 안하면 큰일나요!! 핏라인 의료용 압박스타킹 종아리 다이어트 릴렉스 압박밴드 혈액순환 붓기 개선
bit.ly</t>
  </si>
  <si>
    <t>https://postfiles.pstatic.net/MjAyNTEwMjlfMTM0/MDAxNzYxNzE3NDQzNTY1.bApMhAk8ZmcF_pN2E5WstthL_WdwnIFCY8-wgT-AFBYg.rGhoKckwudOlfZaFLbna3xn2aNe0igXTIigXnMzkp8og.JPEG/Image_fx_(1).jpg?type=w80_blur|||https://dthumb-phinf.pstatic.net/?src=%22https%3A%2F%2Fshop-phinf.pstatic.net%2F20251024_105%2F1761273005932y6piv_PNG%2F95405972750819478_1561937741.png%22&amp;type=ff500_300</t>
  </si>
  <si>
    <t>상황</t>
  </si>
  <si>
    <t>알파cd핏라인부스트 추천 상품모음 : 네이버 블로그</t>
  </si>
  <si>
    <t xml:space="preserve">알파cd핏라인부스트 추천 상품모음 1. [임상완료] 마그네슘 스프레이 아네카 리커버리 부스트 스트레스 해소와 피로 회복에 도움을 주는 제품으로, 빠른 흡수와 간편한 사용법이 특징이에요. 피부에 쉽게... </t>
  </si>
  <si>
    <t>blog.naver.com/p_muffin</t>
  </si>
  <si>
    <t>https://blog.naver.com/p_muffin/224057174398</t>
  </si>
  <si>
    <t>p_muffin</t>
  </si>
  <si>
    <t>알파cd핏라인부스트 추천 상품모음
1. [임상완료] 마그네슘 스프레이 아네카 리커버리 부스트
스트레스 해소와 피로 회복에 도움을 주는 제품으로, 빠른 흡수와 간편한 사용법이 특징이에요. 피부에 쉽게 흡수되어 순간적으로 개운함을 느낄 수 있더라구요. 정기적으로 사용하면 근육 이완과 함께 몸의 긴장 완화에도 도움이 된다고 하니, 운동 후나 일상 피로 풀기 좋은 선택일 것 같아요.
KC/안전 관련 표기는 아래 상세에서 확인해 주세요.
https://naver.me/GZ6JREXZ
[임상완료] 마그네슘 스프레이 아네카 리커버리 부스트 : 아네카
[아네카] 놀랍도록 편안한 보호대 아네카에서 만나보세요!
naver.me
이 제품은 임상 데이터를 토대로 안정성을 확보했으며, 피부 자극 테스트도 완료되어 민감한 피부에도 적합하다고 알려져 있어요. 사용 방법도 매우 간단해서 스프레이 형식이라 손쉽게 원하는 부위에 뿌릴 수 있고, 휴대성도 좋아 언제 어디서든 사용할 수 있답니다. 다만, 알러지가 있다면 먼저 패치 테스트를 권장해요.
작은 병 크기와 가벼운 무게 덕분에 휴대가 간편해서 야외 활동이나 출장 시에도 유용하더라구요. 특히 피부에 부드럽게 뿌려지는 제형이 만족스러웠어요. 민감성 피부 사용자도 신중하게 고려하시길 바랍니다.
2. SK매직 3구 인덕션 하얀색 전기레인지 쿡탑렌지 3400w 파워부스트 화이트 A3MDWH
깔끔한 디자인과 뛰어난 조작성으로 인기 많은 전기레인지예요. 특히 인덕션 방식이라 열 손실이 적고, 세련된 화이트 컬러가 주방 인테리어와 잘 어울리더군요. 강력한 파워부스트 기능도 있어서 조리 속도를 높일 수 있답니다.
SK매직 3구 인덕션 하얀색 전기레인지 쿡탑렌지 3400w 파워부스트 화이트 A3MDWH의 제원과 옵션 고르는 법을 아래에서 보실 수 있어요.
https://naver.me/5BwgBpWy
SK매직 3구 인덕션 하얀색 전기레인지 쿡탑렌지 3400w 파워부스트 화이트 A3MDWH : SK매직공식몰
[SK매직공식몰] 생활구독 SK매직
naver.me
설치와 사용도 간편하고, 안전장치도 충실하게 갖춰져 있어 초보자들도 걱정 없이 사용할 수 있어요. 내구성도 좋아 오랜 시간 사용 가능하며, 유지 관리도 손쉬운 편이에요. 다만 전기 배선 환경에 따라 전력 공급이 원활하지 않으면 효율이 떨어질 수 있으니 참고하세요.
심플하면서도 현대적인 디자인으로 어느 주방에 두어도 조화롭더라구요. 조리 속도와 안전성 모두 만족스러워 자주 사용하는 제품입니다.
3. [상품권 3만] 삼성전자 갤럭시북5 프로 NT960XHA-K71A 울트라7 윈도우11 16G 512G 노트북
고성능을 자랑하는 노트북으로, 업무뿐 아니라 가벼운 게임까지 무난하게 돌릴 수 있어요. 고사양 CPU와 넉넉한 메모리 덕분에 멀티태스킹이 편리하고, 배터리 지속력도 좋아 외근이나 이동 중 활용도가 높더라고요.
[상품권 3만] 삼성전자 갤럭시북5 프로 NT960XHA-K71A 울트라7 윈도우11 16G 512G 노트북의 세부 스펙과 선택 가이드는 아래 카드 참고해 주세요.
https://naver.me/5pqYlitD
삼성 갤럭시북5 프로 NT960XHA-K71A 16인치 Win11 Ultra7 Ram 16GB Nvme SSD 512GB : 삼성공식파트너 엔씨디지텍
[삼성전자 공식 총판 엔씨디지텍] 강력한 AI 기반의 CPU와 높은 휴대성으로 직장인과 대학생에게 추천하는 노트북
naver.me
윈도우11 탑재로 최신 기능들이 탑재되어 있고, 대형 화면과 빠른 SSD로 작업 효율이 뛰어나요. 디자인 역시 슬림하고 가벼워 휴대하기 좋고, 다양한 포트 지원으로 확장성도 좋답니다. 다만 가격이 다소 높아 예산 고려가 필요할 수 있어요.
세련된 외관과 가벼운 무게 덕분에 언제든 들고 다니기 좋아요. 고사양 제품이니 만큼 오래 쓸 수 있는 내구성도 기대 이상입니다.
4. 티큐라 아토바이탈 부스트오일 150ml, 1개
피부 보호와 영양 공급을 동시에 하는 오일로, 가볍고 빠르게 흡수되는 제형이 인상적이에요. 특히 민감하거나 건조한 피부 타입에게 적합하며, 꾸준히 사용하면 피부 결이 개선되는 느낌을 받을 수 있더라구요.
상세 제원표와 주의 사항은 아래에서 먼저 확인해 주세요.
https://naver.me/FtG71tVz
티큐라 아토바이탈 부스트오일 150ml, 1개 : 티큐라
[티큐라] 더마 코스메틱 브랜드 티큐라 스마트스토어 공식쇼핑몰 / 트라솔, 아크솔, 아토바이탈
naver.me
이 제품은 자연 유래 성분 함유로 민감 피부에도 안심할 수 있고, 비누 세척 후에도 오일의 영양감이 유지돼 피부 장벽 강화에 도움을 줄 수 있다고 알려져 있어요. 적당량만 발라도 충분한 보습 효과를 기대할 수 있으며, 섭취용이나 바디용 모두 활용 가능하답니다.
병 자체가 소형이고 튼튼한 용기로 제작되어 사용과 보관이 편하더라고요. 피부 보호용으로는 물론 헤어 케어까지 연계해 사용하는 분들도 계시더군요.
5. 삼성전자 갤럭시북4 NT750XGP-G72A Core7/16GB/SSD 512GB 고사양 외장그래픽 게이밍 노트북
최신 사양의 게이밍 노트북으로, 강력한 외장 그래픽과 높은 성능 덕분에 최신 게임들도 무리 없이 즐기실 수 있어요. 작업 환경에서도 여유로운 멀티태스킹과 빠른 데이터 처리가 가능해서 전문가용으로도 충분히 추천드릴 만해요.
삼성전자 갤럭시북4 NT750XGP-G72A Core7/16GB/SSD 512GB 고사양 외장그래픽 게이밍 노트북 옵션 선택 전에 아래 안내를 한 번 확인해 보세요.
https://naver.me/5SSKzmj8
갤럭시북4 NT750XGP-G72A : 삼성공식파트너 코인비엠에스
[삼성공식파트너 코인비엠에스] 삼성전자 노트북 온라인 공식파트너 (주)코인비엠에스 갤럭시Mall 입니다.
naver.me
디자인은 깔끔하면서도 세련됐고, 냉각 시스템도 효율적이라 장시간 사용 시 발열 걱정이 적어요. 다양한 포트 지원과 빠른 저장장치 덕분에 확장성 면에서도 뛰어나죠. 다만 무게가 조금 나가는 편이라 이동성을 중요시하는 분께는 참고하셔야 해요.
외형은 단단하면서 세련된 느낌이고, 액정 역시 색감 표현력이 좋아 작업이나 엔터테인먼트 용도로 모두 만족스럽더라구요.
이번 추천 상품들 모두 각각의 용도와 가격대를 고려해 선정했어요. 간단히 정리하면, 실속형인 마그네슘 스프레이부터 프리미엄 노트북까지 폭넓게 준비했으니 자신의 필요와 예산에 맞게 고민해보시면 좋겠네요. 특히 가격대별로 분포되어 있어서 선택의 폭도 넓고요~! 구매 시 기능과 용도를 잘 비교하시고 결정하는 것이 가장 중요한 포인트랍니다.</t>
  </si>
  <si>
    <t>https://postfiles.pstatic.net/MjAyNTEwMjlfMjkw/MDAxNzYxNjcyMTAxNDE3.irMdGfiACvCR-GYAFUomPOIBaJbsSkwyK7FNxjAXbcgg.prkK9h4wAdCIBL-s9VQndQMV8gRJgC9EcouDwBGZQggg.PNG/disclosure.png?type=w966|||https://postfiles.pstatic.net/MjAyNTEwMjlfMTcg/MDAxNzYxNjcyMTQxMDY1.AiWb5Kb9mBzR4KirdCDzzbVZajckfJVxY67PuEhne2kg.ajxVm5h3aqlh87sPSRw9898PrkzPDPRiOBbsPOl6iTog.JPEG/tmp2udyiea1.jpg?type=w80_blur|||https://dthumb-phinf.pstatic.net/?src=%22https%3A%2F%2Fshop-phinf.pstatic.net%2F20250709_17%2F1752057484330TGL9L_JPEG%2F24591928649407716_1186188145.jpg%3Ftype%3Do1000%22&amp;type=ff500_300|||https://postfiles.pstatic.net/MjAyNTEwMjlfMTEw/MDAxNzYxNjcyMjI2NDEx.cvbsGUK0vny5qgWspivVasMuGFKNJqueG4hyXZ1JOrAg.cnjn6hFH1Ylqb7nuYmjyXfrGt0jUX5S96EXCI5C5lfkg.JPEG/tmpsfz2o7q6.jpg?type=w80_blur|||https://dthumb-phinf.pstatic.net/?src=%22https%3A%2F%2Fshop-phinf.pstatic.net%2F20250723_85%2F1753258192519JUs6H_JPEG%2F40456799386527698_2147170865.jpg%3Ftype%3Do1000%22&amp;type=ff500_300|||https://postfiles.pstatic.net/MjAyNTEwMjlfMTcx/MDAxNzYxNjcyMzEzNzgx.VOdLKYLm6r1v65uGxveoi0D2YI-RVTGp7hYHgO3Cj9wg.7e1wT51kuiyTF7gVsgzUFuIVds29UHpXx6_rKY69HTcg.JPEG/tmpa_1s2web.jpg?type=w80_blur|||https://storep-phinf.pstatic.net/motion2d_01/original_6.png?type=p100_100|||https://dthumb-phinf.pstatic.net/?src=%22https%3A%2F%2Fshop-phinf.pstatic.net%2F20250213_31%2F1739405774441rJpz0_JPEG%2F15370448592679411_922483425.jpg%3Ftype%3Do1000%22&amp;type=ff500_300|||https://postfiles.pstatic.net/MjAyNTEwMjlfMTE2/MDAxNzYxNjcyNDEwNjc0.L_2EJcvT_87m_8lz0JLnoMqblYcnZqB8URNUV-iYxzUg.Hori_miQxOkYhdbpHxVZhAhdeG6aDUXKz6E9gDImV7Yg.JPEG/tmpt3zqzwyr.jpg?type=w80_blur|||https://storep-phinf.pstatic.net/cafe_001/original_6.gif?type=pa50_50|||https://dthumb-phinf.pstatic.net/?src=%22https%3A%2F%2Fshop-phinf.pstatic.net%2F20251022_155%2F17611129185944KTQt_JPEG%2F4744365460535648_1287827771.jpg%3Ftype%3Do1000%22&amp;type=ff500_300|||https://postfiles.pstatic.net/MjAyNTEwMjlfMTc5/MDAxNzYxNjcyNTA3MzYz.FjSVsJFePppbiDSqwUuclwckkz3saTYjP7U69AN9XQgg.ljZlUbGeJzCxkcqmyQXql7kXyJNJgmFOKX3v5plFgrog.JPEG/tmp6qbhircl.jpg?type=w80_blur|||https://dthumb-phinf.pstatic.net/?src=%22https%3A%2F%2Fshop-phinf.pstatic.net%2F20251023_177%2F1761180090594V0k96_JPEG%2F7858511627574904_1856065148.jpg%3Ftype%3Do1000%22&amp;type=ff500_300|||https://postfiles.pstatic.net/MjAyNTEwMjlfOTQg/MDAxNzYxNjcyNTk1MTM3.mDOVIIe4xRSRlXiyjRtBpi5i2-4Hd3vKVuBSvH_tD98g.8ZJzYuJ4JOqWM-ZxveGJEzNgsudk1O3gsWQnw9_JD24g.JPEG/tmpu2qoijm7.jpg?type=w80_blur|||https://storep-phinf.pstatic.net/cafe_004/original_4.png?type=p100_100</t>
  </si>
  <si>
    <t>상품모음</t>
  </si>
  <si>
    <t>루디아K 25FW#9 : 네이버 블로그</t>
  </si>
  <si>
    <t xml:space="preserve">자연스럽게 넥라인이 펼쳐져 답답함없고^^ 이너로 입은 니트나 셔츠가 보이면서 감각적인 분위기가 만들어져요^^ 원단 텍스쳐 멋지고 어깨부터 연결된 절개 핏라인~ 굿이랍니다. 1사이즈(55-66)... </t>
  </si>
  <si>
    <t>blog.naver.com/myspace486</t>
  </si>
  <si>
    <t>https://blog.naver.com/myspace486/224054973363</t>
  </si>
  <si>
    <t>myspace486</t>
  </si>
  <si>
    <t>#LUDIA.K
#루디아K #루디아케이
Next image
Next image
Next image
# 102울CT
원단 / 울100
컬러 / 크림아이 네이비 12
더로우st 하프코트입니다.
올시즌 컬러 화이트.아이 / 네이비~ 그리고 하프기장^^
클래식하면서 고급스러운 느낌~
단추를 풀면 넉넉해보이는데..소매 어깨 절개 디테일로 슬림하게 실루엣이 아주 좋답니다.
자연스럽게 넥라인이 펼쳐져 답답함없고^^
이너로 입은 니트나 셔츠가 보이면서 감각적인 분위기가 만들어져요^^
원단 텍스쳐 멋지고 어깨부터 연결된 절개 핏라인~ 굿이랍니다.
1사이즈(55-66) 가슴단면58 기장86
2사이즈(66-77) 가슴단면63 기장88
가격정보 구매 ▶https://bp2.kr/yBkP
● 뒷스트링을 주름잡을수도.. 일자통으로도. 연출할수있습니다.
Next image
# 111퀼팅BBY
원단 / 메모리폴리 100
컬러 / 블랙 123
퀼팅 롱재킷입니다. 퀼팅 누빔으로 가볍고 따뜻합니다~ ^^
더캐시미어st 단정 단아하면서 적당한 디테일
앞 섶. 소맷단. 포켓 골덴마감
옆에 스트링 포인트가 있어요~
무난한듯 작은 멋짐 포인트가 있어 블랙 아우터 데일리로 입기 좋답니다.
오염도 강해서 더 자주 입게 된답니다~~
1사이즈 가슴단며56 기장103
2사이즈 가슴단면58 기장104
3사이즈 가슴단면62 기장105
가격정보 구매 ▶https://bp2.kr/yBkI
Next image
Next image
# 605니트집업
원단 / 캐시미어10 울90
컬러 / 네이비 123
마르지엘라st 집업니트입니다.
도톰 탄탄해서 보온성 높고요^^
니트조직감과 집업스타일이 멋스러움UP
아우터로 활용하다가~ 한겨울에는 실내에서 걸치기도 좋답니다.
소매폭은 새미와이드로 넉넉 편하게 떨어지는 핏입니다.
1사이즈 가슴단면55 기장58
2사이즈 가슴단면57 기장59
3사이즈 가슴단면60 기장60
가격정보 구매 ▶https://bp2.kr/yBkE
Next image
# 607니트V
원단 / 모헤어37 울45 나일론15 라이크라3
컬러 / 차콜 12
귀엽고 따듯 카라스타일 니트조끼입니다.
클래식한 귀염있는~ 셔츠나 기본티. 폴라에 걸쳐입으면
포근 여유감 넘치는 스타일 완성^^
아우터 안으로 보이는 정감 넘치는 아이템입니다.
슬랙스. 청바지. 스커트 어디에나 코디하기 좋고요^^
1사이즈(55-66) 가슴단면52 기장58
2사이즈(66-77) 가슴단면55 기장60
가격정보 구매 ▶https://bp2.kr/yBkA
Next image
# 204P
원단 / 코튼45 폴리30 울25
컬러 / 차콜 네이비 123
원단 조직이 늘어지는 느낌없이 짱짱 탄탄하게 일자 핏이 연출됩니다.
출근룩이나 외출룩으로 손색없는 스트레이트 핏 !! 다리 길어보이는~~
편하게 외출할때 입기 좋은 도톰 탄탄 밴딩바지입니다.
1사이즈 허리34 힙53 기장95.5 아랫단넓이22
2사이즈 허리36 힙55 기장96 아랫단넓이22.5
3사이즈 허리39 힙58 기장97 아랫단넓이24
가격정보 구매 ▶https://bp2.kr/yBkq
Next image
# 015MtoM
원단 / 코튼
컬러 /그레이 차콜 12
빈티지한 컬러감~
가을겨울 그윽한 분위기에 딱 좋은 맨투맨입니다.
소프트하게 툭~ 떨어지게 입는 마르지엘라st
베이직 컬러에 편안하게 입기 좋습니다.
1사이즈(55-66) 가슴단면72 기장63
2사이즈(66-77) 가슴단면75 기장65
가격정보 구매 ▶https://bp2.kr/yBkg
Next image
# 019매듭T
원단 / 코튼
컬러 / 브라운 네이비 123
매듭마감이 있는 매끈코튼원단 티셔츠입니다.
르메르st 넥라인마감이 멋스러워요^^
이너용으로 좋게 매끈 코튼으로 얇고 좋아요^^
1사이즈 가슴단면52 기장59
2사이즈 가슴단면54 기장60
3사이즈 가슴단면57 기장61
가격정보 구매 ▶https://bp2.kr/yB1m</t>
  </si>
  <si>
    <t>#LUDIA, #루디아K, #루디아케이</t>
  </si>
  <si>
    <t>https://postfiles.pstatic.net/MjAyNTEwMjdfNTAg/MDAxNzYxNTIzNDQ4MzY0.KWYJGebJSLFXnZ_mKWgqJPHCygUgEzjdfX63RXu0_XAg.lqTxcVt6ziXgIlrtxHALDQbBMsUw4tq2dRigbYttifIg.JPEG/1_(1).jpg?type=w386|||https://postfiles.pstatic.net/MjAyNTEwMjdfMTU1/MDAxNzYxNTIzNDQ4MzYw.hyXbpw2pIB8HFZqbzeZ9Dm2gtzfvatjQz-KjLb6HQDMg.MqTqdtOEV5rFchpBtWp3Rc63VdcHEsBxikD9DdKme4Mg.JPEG/1_(2).jpg?type=w386|||https://postfiles.pstatic.net/MjAyNTEwMjdfMTIx/MDAxNzYxNTIzNDQ4MzY0.aHCciqoC2LofSlv47HNSeR1fdZOl9jf8ivONHE7wcyEg.OTofRTxOHZWPBPSRuBhu84iWFWcdzbMExFrx0G6hTu0g.JPEG/1_(3).jpg?type=w773|||https://postfiles.pstatic.net/MjAyNTEwMjdfMTgg/MDAxNzYxNTIzNDc4OTcz.mC6_WJJ3PddEWwhXMqkwrJZ5E_l5A9DNJ_58_mUbEOog.xl-8qgploV-hScaGH59HuWqHEddERay9hPDPgztUftYg.JPEG/1_(4).jpg?type=w80_blur|||https://postfiles.pstatic.net/MjAyNTEwMjdfMjEg/MDAxNzYxNTIzNDc4OTcx.stgYosPzXTkLqV-5loBgEAQ2nCV-ONUwd7-mwUcZFlwg.pSM9Sb0KgHAPURxUfVOdW4VroPw90aaHompaeBpdLM0g.JPEG/1_(5).jpg?type=w80_blur|||https://postfiles.pstatic.net/MjAyNTEwMjdfMTUz/MDAxNzYxNTIzNDc4OTc2.yDAriTuxu4I43wpyA189KLNdm4RP5obalBDV8-lg3eIg.loNcc6kBYop7Q1vVjYG5NmosvCfYBmSwwKbvxksNJ0Ug.JPEG/1_(6).jpg?type=w80_blur|||https://postfiles.pstatic.net/MjAyNTEwMjdfMjkg/MDAxNzYxNTIzNTExMTAx.zC2Dsijl8mKbKS2gIXDmF5d6k-mScN92FOoT26P2-9Ug.vu8SEow8SM-iTdF9lDXCvHXLqmTFGfB3aQa8gZF5ttcg.JPEG/1_(7).JPG?type=w80_blur|||https://postfiles.pstatic.net/MjAyNTEwMjdfMjE0/MDAxNzYxNTIzNTExMTAw.fn6T1J6Kmu6mgYcbB_5oEu1M1n5uVElrfkfiwV9MyN4g.LVZQztHIbKFs5QRTdgeM_G8jIS1mgFcN6K0nF7ev6N4g.JPEG/1_(8).JPG?type=w80_blur|||https://postfiles.pstatic.net/MjAyNTEwMjdfMTgw/MDAxNzYxNTIzNTM2ODYy.S5MN3eOLDrVVHlR3_FJ7SKnPbAe0ZG55nONKE8VjfhYg.fkibhsKra0BwNugzyUrxdnhLRDgELRjWY9ysKQA9BWMg.JPEG/1_(9).JPG?type=w80_blur|||https://postfiles.pstatic.net/MjAyNTEwMjdfMTEx/MDAxNzYxNTIzNTM2ODYy.3yrqav2g1MUpT8cbgqMQe0nijB6SZNF46_vZ0LUgOYYg.pd474OEM5eMRELTIoCT2e4A81kNtcp8yBdjlYaO6yZUg.JPEG/1_(10).JPG?type=w80_blur|||https://postfiles.pstatic.net/MjAyNTEwMjdfMTA0/MDAxNzYxNTIzNTM2ODU5.WOdSmTzoGE-x8UnJfHo8I8Dx994epK9NxLf3Tlgzunkg.M-9b6N40sFD6QnekyEbAwQtUR-K3phgHu_xuPtwDQVwg.JPEG/1_(11).JPG?type=w80_blur|||https://postfiles.pstatic.net/MjAyNTEwMjdfNjAg/MDAxNzYxNTIzNTM2OTAw.2Wa3BsYWPQi2VCo2aPQ3sKejfZjdiq-0ttx_Xfn7jecg.J0JGEN4jtbLgdj73YXPr701y6gg2YAHv48m0dbgqJRIg.JPEG/1_(12).JPG?type=w80_blur|||https://postfiles.pstatic.net/MjAyNTEwMjdfMTUz/MDAxNzYxNTIzNTM2ODk3.jV3vCKNuEgp5-9l6A_GC0Vw6QvI8-wAL5g4-EDiKow0g.eTtCivkHSKGiUOrtTVTjg_XOb_tejIq4z4b9I1QfvBMg.JPEG/1_(13).JPG?type=w80_blur|||https://postfiles.pstatic.net/MjAyNTEwMjdfMjMy/MDAxNzYxNTIzNTM2OTAw.Y9YLTxKfTuZH-yWFE04FKZWlsXk50Ps1yjmpCI-0WY4g.NyxBgd7qen9Xr6TxCdxcEL5xk1zVjuWJwhUd9x4geMYg.JPEG/1_(14).JPG?type=w80_blur|||https://postfiles.pstatic.net/MjAyNTEwMjdfOTYg/MDAxNzYxNTIzNzI2MTEy.K68NvXTnpDKR1NTGYZ7DyvN197TxgdkumlptOuz6CN0g.ZVXdnNNa8JP0hr_RPi99SeNgwItwuo9iP3nPQqH7nBUg.JPEG/2_(1).JPG?type=w80_blur|||https://postfiles.pstatic.net/MjAyNTEwMjdfNTYg/MDAxNzYxNTIzNzI2MTI5.ztAMlumZCci9l611Xp9SuuuiPeunTobclVOPOFCUJf0g.hvrtdI2b83Md_Fy1w6r0RvXZhl9b55tbIZ5-HOCs96Ug.JPEG/2_(2).JPG?type=w80_blur|||https://postfiles.pstatic.net/MjAyNTEwMjdfMTE4/MDAxNzYxNTIzODI5Mjg3.YVniDI1Z9dDcxgVedyPZY-Y6YmUdbLztUb926_9G3dkg.tXDvd39WdHUTm_vz2LveuPFpR2y8adfoNV66DsuyEfEg.JPEG/2_(3).jpg?type=w80_blur|||https://postfiles.pstatic.net/MjAyNTEwMjdfNTgg/MDAxNzYxNTIzODI4NzM3.c-whQXzbobHlBPOTP3IQ0czZdWnyKTJIPGyK5xagnIcg.dSJ2U7B4dWTQVJ1JrW0qstoM_V7lmrlWrgIF-R5JGbwg.JPEG/2_(3-1O.JPG?type=w80_blur|||https://postfiles.pstatic.net/MjAyNTEwMjdfOCAg/MDAxNzYxNTIzODMwMDgx.kY4HEPdvTI4EBN33lYvOnlbp6ftpdTNinwEzjJ5SWE0g.pXERTYvuxgG8FtdxVVINralXLJz-h_xLyY9IBQMCbtsg.JPEG/2_(4).jpg?type=w80_blur|||https://postfiles.pstatic.net/MjAyNTEwMjdfMjMz/MDAxNzYxNTIzODI5MDIx.lI5Hfbba-HMgS1_gw_A91cO_CD722K3u_SeHzh4Y6N0g.zQGch-rZIQ5hLmiWiw0dHziJYA7tWk6cB6Ge6EHuLukg.JPEG/2_(4-1).JPG?type=w80_blur|||https://postfiles.pstatic.net/MjAyNTEwMjdfMTkx/MDAxNzYxNTIzODI5MDM3.wLmO9tBf3uz-KmNUgqgjmSLGfh8SbDqKgFJLj0xlwEUg.GkTMt5pYw_HGVa46MdFlRpEabRdfufuD4LKBtOYxVeIg.JPEG/2_(5).JPG?type=w80_blur|||https://postfiles.pstatic.net/MjAyNTEwMjdfMjg4/MDAxNzYxNTIzODMwMzM3._MooXy_aHkCGJH7v7jtq-jWK0NyRbkOlY4wyGdf_3pQg.mauArS1MFPloIDcAA46WOpuNctKhaLMGDo9ZBkay-10g.JPEG/2_(5-1).jpg?type=w80_blur|||https://postfiles.pstatic.net/MjAyNTEwMjdfMjkg/MDAxNzYxNTI0MDQ1Mzcw.9FTu-xvfNsE6DKD9UHSS6PuUdPC_4AjWyB88Iz1BuGYg.dyyONosIB9XgKX6qAkzi3d8oDn-c8ZV9TKlykMYcQaMg.JPEG/3_(1).jpg?type=w80_blur|||https://postfiles.pstatic.net/MjAyNTEwMjdfNTAg/MDAxNzYxNTI0MDQ1MzY4.5KZdun5a1RvmzDMZaAbRYrlyiJupucP5rXQu8xMg35Eg.mHjmw6hiqg6AXnoo043F2rSY-Rx8xveAUW-jZrRbn6cg.JPEG/3_(2).jpg?type=w80_blur|||https://postfiles.pstatic.net/MjAyNTEwMjdfMTQ3/MDAxNzYxNTI0MDQ1MzY3.VszjEIZOhYdpe-h55CD_AJwIYdIsBNGWrp-nT9ZPjVgg.XkoPNfacX3fuyqyHbsSeL9vNG0rrMVdRGhy9udxhuR0g.JPEG/3_(3).jpg?type=w80_blur|||https://postfiles.pstatic.net/MjAyNTEwMjdfMTY3/MDAxNzYxNTI0MDQ1MzY4.1BClQwI3Yk6_vgNoVZXPUSf5G7yZwJbZtvx1hT2wZasg.Ebp8Sj_bJbLS8998MPE58kNDSpYfcjpa0M6YdohfE1cg.JPEG/3_(4).jpg?type=w80_blur|||https://postfiles.pstatic.net/MjAyNTEwMjdfMTg4/MDAxNzYxNTI0MDY3NTMy.foeIoWv3gOxZEWkNfKQrYYEvKwGZJf5oKZM_Wf1KCFQg.RQHWWpkSftt5psStyTK8eN9TrfZl4aUeD0smRNIK25Qg.JPEG/3_(5).JPG?type=w80_blur|||https://postfiles.pstatic.net/MjAyNTEwMjdfMTA5/MDAxNzYxNTI0MDY3NTIz.lwlTumO14LcutyqWLemcUnDEy6oNmsRQoSdREy6Na3cg.NlogTwjJLvhiBNSk81XZItM-cmJdqPZNFbc_RdvmIuog.JPEG/3_(6).JPG?type=w80_blur|||https://postfiles.pstatic.net/MjAyNTEwMjdfMjkx/MDAxNzYxNTI0MDY3NTIz.pikUzmU2TcwN7ss2Jnnt2o9xE50b2lr9FvIUrAoCC0Ig.BtH7cWl9Nw2pk-CXXHIpO7_ixdO-0iI_ulWm1JflliMg.JPEG/3_(7).JPG?type=w80_blur|||https://postfiles.pstatic.net/MjAyNTEwMjdfOTUg/MDAxNzYxNTI0MDY3NTE3.RSQ_suk6d_FjIMdOu_0SCAZaq7-owAnx72WcKvSoF1Ig.IO3WkHhAnusLl1aaNFbyGZLCEFPn4y5D5a1MOcARv08g.JPEG/3_(8).JPG?type=w80_blur|||https://postfiles.pstatic.net/MjAyNTEwMjdfMzAg/MDAxNzYxNTI0MTcyMjYy.ODfQ9YhgQ3jNrp2Fb72CMPxNw1NklcWABSmYqDDNHlcg.NYCwEml8UwQyuNHMeH9AgJ26bykaE4DbAiDM7L6oRicg.JPEG/4_(1).jpg?type=w80_blur|||https://postfiles.pstatic.net/MjAyNTEwMjdfMjE4/MDAxNzYxNTI0MTcwOTU5.dlf8F8g1qSQGT_zNLKXwxgWWP0ZPRMf4L0R_HDEr6fYg.fEqn1DHkbb5dlFAstDJJwuZpUIek4LaxQLIZkIjz8hwg.JPEG/4_(2).jpg?type=w80_blur|||https://postfiles.pstatic.net/MjAyNTEwMjdfMiAg/MDAxNzYxNTI0MjMzNzcw.zpSczUl1mNrqWKCjaYFjyJppHT0ZCT10ModDCaa9X1og.bw7GDHbNPbmAhIjhZFLXQT7th6AoAzYhFRKN2RoYU9Ag.JPEG/4_(3).JPG?type=w80_blur|||https://postfiles.pstatic.net/MjAyNTEwMjdfODUg/MDAxNzYxNTI0MjMzNTUz._hPI9wLph6QogqMqKDJGf34G3bLrRRZqsH0g0rcou0Ag.V28Wr-baUGfLuxXh4x9ERzY1OB-KKb8rHhOHY6Hoaocg.JPEG/4_(4).JPG?type=w80_blur|||https://postfiles.pstatic.net/MjAyNTEwMjdfOTEg/MDAxNzYxNTI0MjMzNTY2.h8ETJOChP4UdZNAP0yYIHAYqgudxUaByi_Jk8Ghigh8g.lz61-MyjsXi2B9BqiAAovEB3jqvjy2VFbZLyylypgXcg.JPEG/4_(5).JPG?type=w80_blur|||https://postfiles.pstatic.net/MjAyNTEwMjdfMjU1/MDAxNzYxNTI0MzIzNjg3.23uSBFcU8tZdeSpCBUshJBMZOkHg62DWaWaz7dkHS8Yg.U8gqutF-9BdN6ObfL7Tnluas56cFO9hLDLAjBB5egaAg.JPEG/5_(1).jpg?type=w80_blur|||https://postfiles.pstatic.net/MjAyNTEwMjdfMzkg/MDAxNzYxNTI0MzIzOTgz._eLe7Rwcl9tIppNfOE9hudAsoV9UY595E8yBJEQkOFAg.IyjCqMy1iA58bUZYVW7luJ4XjNNVgk5SDmazhnuW1Mgg.JPEG/5_(2).jpg?type=w80_blur|||https://postfiles.pstatic.net/MjAyNTEwMjdfMTk3/MDAxNzYxNTI0MzQxMDQ5.thOYfuwKd2E-U9Qre6Bb0GJt3wuSE9OunYPHmFUxFDEg.ugk-rPTCOpYk9xltRyWPWEYwFDZ_LBaj1h8K9ZpMeWog.JPEG/5_(3).JPG?type=w80_blur|||https://postfiles.pstatic.net/MjAyNTEwMjdfMTg4/MDAxNzYxNTI0MzQwMjUw.IM742ZCzqZoxljd8tBCL9VhYN-X8jA4mMjvaZUNteIMg.ctw1YKMVomp0yFR_JGsC5GY6wFATVbrM9d82uMbZ_I4g.JPEG/5_(4).JPG?type=w80_blur|||https://postfiles.pstatic.net/MjAyNTEwMjdfMjYg/MDAxNzYxNTI0Mzc2MDYz.BY-3PU6C0eqSFy5XpQZvJOM94w86SD3D9c8uX30xsnMg.ycDD6vge4P8FcFsGdvXEjFl_pIhvLyinfmp0hzOe4_gg.JPEG/5_(5).JPG?type=w80_blur|||https://postfiles.pstatic.net/MjAyNTEwMjdfMjI1/MDAxNzYxNTI0Mzc2NDQw.CyCEah6mHMES3rg7NinPBxFg6x28lrah5391YrHO4a4g.9rjlv5GNv6B3qhi0gib2lwRqVZ-uIJgUFaVx8kVt2b8g.JPEG/5_(6).JPG?type=w80_blur|||https://postfiles.pstatic.net/MjAyNTEwMjdfMjIw/MDAxNzYxNTI0Mzc5NTgw.SF6UegMHjLGBd7jhLwPdA44x5B2NYAQ5vDhLR3slVwMg.uAG5gPwnTz8NYCEh8HpUTpJtBWGoS2s16zUIitDOCfAg.JPEG/5_(7).JPG?type=w80_blur|||https://postfiles.pstatic.net/MjAyNTEwMjdfMjE4/MDAxNzYxNTI0MzgzMjUx.FrK6gky3OS4LZUbSrK8u0EIfvduKx7pq0amdhHmRrVwg.Xsd1IWJEiVMNUQJgeRSqX66uac9vYQrSCtgLQX3b3nkg.JPEG/5_(8).JPG?type=w80_blur|||https://postfiles.pstatic.net/MjAyNTEwMjdfMjky/MDAxNzYxNTI0MzgwNTQx.j0A7yz_RefutzE8t0390R8i3OAVwpdNL73L6tIQZo_Qg.vY1aY5SRPCmyexhmrnkvldyfhNo2sOhH3ecVzW2vSNAg.JPEG/5_(9).JPG?type=w80_blur|||https://postfiles.pstatic.net/MjAyNTEwMjdfMTU0/MDAxNzYxNTI0Mzc4MjM1.AuTUIe3O6Oc0t7pKjZbUY_LF6doyJe8l5DQJAAeixE0g.kSKntakzzIeCKTUu3PlelCdH2cZJT_Jx2shDFRyfkbsg.JPEG/5_(10).JPG?type=w80_blur|||https://postfiles.pstatic.net/MjAyNTEwMjdfMTM5/MDAxNzYxNTI0NDYzNjYz.OHySvejZZpTaaC92878RIrr73wGqYF5x7Cux1J_Ep6Ag.2_3yxee8LAPn4wjJQLyOkXPytT6AazAemA5cK618LLwg.JPEG/6_(1).JPG?type=w80_blur|||https://postfiles.pstatic.net/MjAyNTEwMjdfMjIg/MDAxNzYxNTI0NDY0ODA3.IPLRV2qnzcBTbboVEDwjJYVbUGt1ufSx69VZXheozhUg.sp6x2uzjZWWH3LxQ88QPDMZtriAMyqy0K_bJZMs3Oicg.JPEG/6_(2).JPG?type=w80_blur|||https://postfiles.pstatic.net/MjAyNTEwMjdfMjc1/MDAxNzYxNTI0NTAxMjUz.UM5eEJcdT6xpoFsILKftuSGsafwSzrAKYsjysG_69NAg.bhYPUIXNutlcsOyB6y_3guXW4Pjiz-lVDjqdJkQ4v_Yg.JPEG/6_(3).JPG?type=w80_blur|||https://postfiles.pstatic.net/MjAyNTEwMjdfMTgx/MDAxNzYxNTI0NTAxNzY3.1cc_RJ4vpTO9uNOmzUS3a-Odso9-McaYPCpFrnOiH_0g.07JccwkSDoiDLKda1X0UwzZk3026L6puYXngc0ehTeEg.JPEG/6_(4).JPG?type=w80_blur|||https://postfiles.pstatic.net/MjAyNTEwMjdfMjI5/MDAxNzYxNTI0NTAyODk1.0U0fDKCMeOUek63kAPqbNcTL75OAp7aEplzJAF0Mj-Qg.h61y2U2v0niDVRrVWQt1H2r3Rk_CF3V--YHfVg-4xngg.JPEG/6_(5).JPG?type=w80_blur|||https://postfiles.pstatic.net/MjAyNTEwMjdfMjU5/MDAxNzYxNTI0NTAxODEx.i6ud4c0vp4B_gv_YR0xpbtmJwsVzkb5eEpFLYis3GJYg.B9O5hT4OQJpFD-V88PPDLAEq_HXYEpNPAyXM7e1cqpwg.JPEG/6_(6).JPG?type=w80_blur|||https://postfiles.pstatic.net/MjAyNTEwMjdfMTE1/MDAxNzYxNTI0NTQzNDI2.1U5VHylEN2ykgtT6eSKhTC5XK8D_9PGaZeILHbmAmagg.t5CG0vLevgleDsHQulgIpGDrP3agPaiu56fHctKWJsYg.JPEG/7_(1).JPG?type=w80_blur|||https://postfiles.pstatic.net/MjAyNTEwMjdfMjkx/MDAxNzYxNTI0NTQzMDAz.puNPIRxrUFmFMYpXQMxC5kjdo7i4d--afcKcH9zFfZ4g.-iJK06PuZFaINDPLqrxbBgA0v9DiHrzvbP5oW3jEpacg.JPEG/7_(2).JPG?type=w80_blur|||https://postfiles.pstatic.net/MjAyNTEwMjdfMjM2/MDAxNzYxNTI0NTc2Mzkw.hwoteIqHJyxrU8bbi9F0XjP8HWtLQ4JK4uLCVZZHMbAg.HON6ro7GbjNzJVADMAdIDO6xttDj6dXyvAvIAq7zkL0g.JPEG/7_(3).JPG?type=w80_blur|||https://postfiles.pstatic.net/MjAyNTEwMjdfMTQx/MDAxNzYxNTI0NTg3NDYw.7KFyL1arWoqntw-CRCYydwmEbRFzIGOnuPAGVbVMLpUg.6XTvB_-Q65MsHZnlo06i2T-P-iMGMt7-fvZuP57gy28g.JPEG/7_(4).JPG?type=w80_blur|||https://postfiles.pstatic.net/MjAyNTEwMjdfMjQx/MDAxNzYxNTI0NTc2MDgx.Jk3oJIJ4LIDHYuR71n6mkRlLfGClCG_IceY2JcAyZWAg.ytf8n5e72qJzzbXXwJopV9A9BUvGFB9vvLSfjUfDfWMg.JPEG/7_(5).JPG?type=w80_blur|||https://postfiles.pstatic.net/MjAyNTEwMjdfMTkz/MDAxNzYxNTI0NTc2MDgz.8caw4uFKolVQSrnmDZcY8ZZzditNl7V0r0nw54hKG4kg.gVri29nCWYUH1NFZIjNAryo25dyol_gPRNsTHb96v7Eg.JPEG/7_(6).JPG?type=w80_blur|||https://postfiles.pstatic.net/MjAyNTEwMjdfMTAy/MDAxNzYxNTI0NTc2MTA0.yS8kA1OZUHX6JWVmVoDIeVd6G8MB-UUfaqFk4Cb_sRkg.cFPghaNCZUrNX8I6f5CiG7vK3cQCf0LeM-NpbevGH7Yg.JPEG/7_(7).JPG?type=w80_blur|||https://postfiles.pstatic.net/MjAyNTEwMjdfNjUg/MDAxNzYxNTI0NTc2Nzk3.5gTFfxCQmDuv49HLf3f70J3bDa-WMSAFUJ9JzEdwuFwg.B9LzmhEE1FidMt8AcYJfztxdWP_CHv0WFYoxOg3wG6Ag.JPEG/7_(8).JPG?type=w80_blur</t>
  </si>
  <si>
    <t>알파CD핏라인부스트 핵심 선택 가이드 : 네이버 블로그</t>
  </si>
  <si>
    <t xml:space="preserve">알파CD핏라인부스트 핵심 선택 가이드 1. 고함량 뉴 산화 마그네슘 350 비타민 b6 영양제 신경 안정 근육 기능 90캡슐, 1개 이 제품은 신경 안정과 근육 기능 개선에 도움을 주는 고함량 산화 마그네슘과... </t>
  </si>
  <si>
    <t>blog.naver.com/information303</t>
  </si>
  <si>
    <t>https://blog.naver.com/information303/224053915651</t>
  </si>
  <si>
    <t>information303</t>
  </si>
  <si>
    <t>알파CD핏라인부스트 핵심 선택 가이드
1. 고함량 뉴 산화 마그네슘 350 비타민 b6 영양제 신경 안정 근육 기능 90캡슐, 1개
이 제품은 신경 안정과 근육 기능 개선에 도움을 주는 고함량 산화 마그네슘과 비타민 B6가 함유되어 있어요. 특히 스트레스 받거나 피로가 쌓인 날, 꾸준히 섭취하면 좀 더 안정된 감정을 유지하는 데 효과적이라고 하더라고요. 캡슐 하나만으로 간편하게 섭취 가능해서 바쁜 일상에서도 챙기기 좋아요. 영양제 특유의 부담 없는 사용감 덕분에 매일 쉽게 붙들게 되더군요.
교환/반품 가능 조건과 기간은 아래 안내에서 확인해 주세요.
https://naver.me/FwjcQkiZ
고함량 뉴 산화 마그네슘 350 비타민 b6 영양제 신경 안정 근육 기능 90캡슐, 1개 : 부스트 드럭스토어
[부스트 드럭스토어] 100%정품 / 빠른배송
naver.me
이 영양제는 안정성과 내구성을 고려해 만들어졌으며, 구입 후 빠른 배송과 신속한 고객 서비스가 특징입니다. 영양제의 품질 검증도 철저히 이루어지고 있으며, 성분의 순수성도 확인된 만큼 믿고 사용할 수 있겠어요. 특히 신경계 건강이나 근육 회복이 필요한 분들에게 적합하니, 구매 전에 자신의 필요를 한번 체크해보시는 것도 좋겠네요.
이 영양제는 휴대가 간편해서 언제 어디서든 복용하기 좋아요. 특히 신경이 예민하거나 근육이 자주 뻣뻣한 분들께 추천드리며, 부작용 걱정 없이 안심하고 섭취 가능하다는 점도 큰 장점입니다.
2. 헬로바이오 부스트 아르기닌 6200 15포, 1개
운동 후 피로 회복이나 혈액순환 개선에 관심이 많은 분들에게 적합한 제품이에요. 아르기닌은 혈액 흐름을 원활하게 해주어 체력 유지에 도움을 준다고 알려져 있는데, 이 제품은 포장도 깔끔하고 섭취 방법도 간단해서 일상에 자연스럽게 녹아들 수 있어요. 운동하는 사람뿐 아니라 활력을 유지하고 싶은 누구에게나 추천할 만하더라고요.
부속품 포함 여부와 구성 설명은 아래 카드에서 확인하세요.
https://naver.me/5DDCBbtn
헬로바이오 부스트 아르기닌 6200 15포, 1개 : 헬로 바이오
[헬로 바이오] 건강을 향한 첫 인사, 건강기능식품 브랜드 헬로바이오
naver.me
이 제품은 흡수율과 순도에 신경 쓴 제조 과정 덕분에 꾸준히 섭취하면 체감 효과를 기대할 수 있는데요. 포장 상태도 뛰어나서 휴대와 보관이 편리하며, 일부 사용자들은 체내 혈류 개선이나 근력 향상에 일정 수준 도움을 받고 있다고 해요. 다만, 생리적 차이에 따라 개인별 차이는 있으니 참고하세요.
이 아르기닌 제품은 활동량이 많은 분들이나 체력 유지에 관심 있는 분들에게 특히 잘 맞을 것 같아요. 수분 섭취와 함께 꾸준히 먹으면 더욱 좋은 결과를 기대할 수 있답니다.
3. 록키스 아쿠아 부스트 옴므 올인원 200ml, 2개
남성 피부와 라이프스타일에 맞춘 올인원 제품으로, 피부 보습과 관리가 한 번에 가능한 제품이에요. 피부 고민이 자주 생기는 편인데, 이 제품은 끈적임 없이 산뜻하게 흡수돼서 데일리로 쓰기 딱 좋더라고요. 피부 장벽 강화와 피부 탄력 증진 효과도 기대할 수 있어 활용도가 높아요. 게다가 200ml 대용량이라 가성비도 좋아 여러 번 사용하기 편리했어요.
상세 스펙과 사용 환경 안내는 아래 카드에 정리했어요.
https://naver.me/5ixek9dk
록키스 아쿠아 부스트 옴므 올인원 200ml : 록키스
록키스,록키스올인원,올인원,남자화장품,남성스킨,남성화장품올인원,남자스킨,남자로션,남자화장품세트,남성화장품세트,남성로션,천연화장품,남성스킨로션,남자스킨로션,남성올인원,남성올인원화장품,남자화장품올인원,남성스킨로션세트,남성용화장품,남성에센스,남성화장품
naver.me
제품은 안전성을 최우선으로 고려했고, 피부 자극 테스트까지 마친 상태라 안심하고 사용할 수 있어요. 남성 피부 특성에 맞춘 성분 배합으로 민감성 피부에도 잘 맞았으며, 사용할 때마다 부드러운 느낌이 들었어요. 특히 여행이나 외출 시에도 휴대가 간편해서 항상 챙기게 되더라고요.
이 올인원 제품은 피부 관리의 간편함을 찾는 분들에게 추천 드립니다. 여러 단계를 거치지 않고 하나로 끝낼 수 있어 시간 절약이 되고, 피부에 즉각적인 보습 효과를 느낄 수 있답니다.
4. 벨킨 부스트차지 프로 70W 3포트 초고속 충전기 WCH018 USB-C USB-A GaN PD3.1 PPS 지원 아이폰17 16 호환
이 충전기는 여러 기기를 빠르게 충전할 수 있어서 일상에서 정말 유용했어요. 특히 초고속 충전을 지원하는 게 핵심인데, USB-C와 USB-A 포트 모두 제공돼 스마트폰이나 태블릿 모두 연결 가능하답니다. 강력한 출력 덕분에 오랜 기다림 없이 충전이 끝나서 바쁜 일정 속에서도 효율적이었어요. 또 GaN 기술 덕분에 크기도 작고 발열도 적어 공간 활용도가 높았어요.
벨킨 부스트차지 프로 70W 3포트 초고속 충전기 WCH018 USB-C USB-A GaN PD3.1 PPS 지원 아이폰17 16 호환의 세부 스펙과 선택 가이드는 아래 카드 참고해 주세요.
https://naver.me/FjCGVxal
벨킨 70W 3포트 GaN 고속 충전기 WCH018 : 벨킨 공식 브랜드스토어
[벨킨 공식 브랜드스토어] [벨킨공식몰] 믿고 쓰는 벨킨, 전 상품 A/S 지원
naver.me
가격 대비 성능이 뛰어나 많은 사용자들이 선택하는 이유인데요, 안전장치도 갖춰져 있어서 과전류나 과충전을 걱정하지 않도록 설계돼 있답니다. 또한 아이폰17 등 최신 기종과도 완벽 호환되니 꼭 확인 후 구매하세요. 다만, 충전 포트 개수나 케이블 선택 여부는 사전에 체크하는 것이 좋습니다.
이 초고속 충전기는 집이나 사무실 어디서든 손쉽게 쓸 수 있고, 빠른 충전으로 시간 절약하는 데 딱이에요. 컴팩트한 디자인이라 공간 차지도 적고, 안전 기능까지 갖춘 덕분에 안심하고 사용 가능해요.
5. 썸쓰 구명조끼 성인 남자 여자 경량 라이프자켓 슬림핏 네오프렌 BOOST 블랙, 120kg
물놀이를 즐기는 사람들이라면 꼭 알아두어야 할 안전 용품인데요, 이 구명조끼는 슬림핏 디자인으로 착용감이 우수하고 움직임도 자유로워서 활용도가 높아요. 가볍고 부드러운 네오프렌 소재 덕분에 착용 후 불편함이 적었고, 체형에 따라 밀착되어 안전성을 높였어요. 특히 성인 남녀 모두 착용 가능하도록 사이즈 조절도 쉬운 편입니다.
배송 유의사항과 출고 일정은 아래 카드에서 확인 가능합니다.
https://naver.me/xlbjTKmc
썸쓰 부력보조복｜스타일과 안전을 동시에, 수영 레벨별 3단계 구명조끼 : 썸쓰
수영 실력에 따라 선택하는 3단계 부력 설계! 썸쓰 부력보조복은 감각적인 디자인과 뛰어난 착용감, KC 인증 안전성을 갖춘 스포츠형 구명조끼입니다. 스타일과 실용성을 모두 챙긴 물놀이 필수템.
naver.me
내구성이 뛰어나며 세척 후 건조도 빠른 점이 특징입니다. 일상생활에서 또는 레저 활동 시 언제든지 착용할 수 있으며, 강력한 부력은 안전성을 크게 높여줍니다. 주의할 점은 반드시 정해진 무게 범위 내에서 사용해야 하며, 적절한 착용 방법을 숙지하는 것이 중요하겠네요.
슬림핏 디자인이라 복장에 큰 영향을 주지 않으며 활동하기에도 좋아요. 사용 시 착용감과 안전 모두 만족스러워서, 물놀이 즐길 때 꼭 필요한 아이템입니다.
이번 추천 리스트는 건강 유지와 생활의 편리함을 동시에 고려했어요. 특히 가격 경쟁력도 고려해서 높은 할인율 또는 가성비 좋은 상품들을 골라봤죠. 일부 제품은 특가로 진행 중이라니 구매 전에 꼼꼼히 비교하시고 자신에게 가장 적합한 아이템을 선택하시면 좋을 것 같아요! 각 상품별로 특징과 용도를 참고해서 본인 라이프스타일에 맞는 선택하시길 추천드립니다.</t>
  </si>
  <si>
    <t>https://postfiles.pstatic.net/MjAyNTEwMjZfMjgy/MDAxNzYxNDIxMTgxMTAz.Z5erx4mO54ZShVm3vQ7JkJMnGFfZiI3tymMH-epNaVkg.1JCzeq5T2gQbxqnivDa93-OoaiZWMhgAq9sTislmXDkg.PNG/disclosure.png?type=w773|||https://postfiles.pstatic.net/MjAyNTEwMjZfMTg4/MDAxNzYxNDIxMjIyMTM2.YhkMQHanpsnkfZQKoLD1VL_EKUdWCFc2BzTqZfhp7awg.QQdIq-o1FBW5Ccprx4GprtmMgVEmC9ZgD8GB0BqmH3Ag.JPEG/tmppfdd8u7d.jpg?type=w80_blur|||https://dthumb-phinf.pstatic.net/?src=%22https%3A%2F%2Fshop-phinf.pstatic.net%2F20250925_4%2F1758770062068Dsk5M_JPEG%2F13215520905926615_1304011729.jpg%3Ftype%3Do1000%22&amp;type=ff500_300|||https://postfiles.pstatic.net/MjAyNTEwMjZfNDYg/MDAxNzYxNDIxMzEzNzM5.9apiUpokJXJfy-Lx13QOKm7Zvuyk3bzJRY5VCYi8mgkg.IezMV6pbYzK-5VTAtE-JuKzA2-3JlBi0OcgroH16nhAg.JPEG/tmp_sbubyui.jpg?type=w80_blur|||https://storep-phinf.pstatic.net/motion2d_01/original_7.png?type=p100_100|||https://dthumb-phinf.pstatic.net/?src=%22https%3A%2F%2Fshop-phinf.pstatic.net%2F20250221_91%2F1740125192392lzhJ8_JPEG%2F74258083266829985_324262735.jpg%3Ftype%3Do1000%22&amp;type=ff500_300|||https://postfiles.pstatic.net/MjAyNTEwMjZfMjIg/MDAxNzYxNDIxNDEzODM3.1FhG0dzSteONL3yeXQLgZZqVHOczzDNd6rsw1HVRT3kg.-4h9V4zTnt-pqLEYuhmua43Sfvq92560uG_PqXXeKUgg.JPEG/tmpuk56dm_1.jpg?type=w80_blur|||https://dthumb-phinf.pstatic.net/?src=%22https%3A%2F%2Fshop-phinf.pstatic.net%2F20250307_209%2F1741323898550SVH2i_PNG%2F10439780658567130_613664419.png%3Ftype%3Do1000%22&amp;type=ff500_300|||https://postfiles.pstatic.net/MjAyNTEwMjZfMTc3/MDAxNzYxNDIxNTAxNDU2.p_ytCfZ_k7Z70hfK0GvIrRofxgkOsy_EV1eNeSNjnH0g.o6BPfX1xL9B_W6VswdDyq24KboiBmYPnPO_3EmGMSoYg.JPEG/tmpg8vfc81d.jpg?type=w80_blur|||https://dthumb-phinf.pstatic.net/?src=%22https%3A%2F%2Fshop-phinf.pstatic.net%2F20250910_88%2F17574896060968oBFu_JPEG%2F82772472725368443_1437040292.jpg%3Ftype%3Do1000%22&amp;type=ff500_300|||https://postfiles.pstatic.net/MjAyNTEwMjZfMjE4/MDAxNzYxNDIxNTkxMzgx.Om497l_WN76RU9maXyl_pRiox1Y727a_xsFpLebLhDEg.RZFYHRClspqbRTf16MvzBoxX9D3Ccb8ujLpm9R5p9iQg.JPEG/tmpq0ac24ss.jpg?type=w80_blur|||https://storep-phinf.pstatic.net/cafe_001/original_1.gif?type=pa50_50|||https://dthumb-phinf.pstatic.net/?src=%22https%3A%2F%2Fshop-phinf.pstatic.net%2F20250817_146%2F1755404687057ovVbg_JPEG%2F4378482094542592_1708675407.jpg%3Ftype%3Do1000%22&amp;type=ff500_300|||https://postfiles.pstatic.net/MjAyNTEwMjZfODIg/MDAxNzYxNDIxNjg3NzEz.r6h5pDPNvfEUvWtMKMGjsAUrf9FCtoQXX6RJMnzssDEg.5AXXHp-1eRCkSZbzSXNAw3StC5vKTAx90u-xs-LGhcIg.JPEG/tmp14we1d_9.jpg?type=w80_blur</t>
  </si>
  <si>
    <t>드리며</t>
  </si>
  <si>
    <t>11월 가장 저렴한 액션팩으로 독일피엠쥬스 2.. : 네이버블로그</t>
  </si>
  <si>
    <t xml:space="preserve">피트라인 탑엠버서더 오늘은 11월에 가장 저렴한 액션팩으로 독일피엠쥬스 2종 구매하는 방법... 피트라인 액션팩 왜 가장 경제적일까요? 액션팩은 사업자들에게는 사업을 확장할수 있는 기회이고... </t>
  </si>
  <si>
    <t>blog.naver.com/samyoon_mom</t>
  </si>
  <si>
    <t>https://blog.naver.com/samyoon_mom/224061596225</t>
  </si>
  <si>
    <t>samyoon_mom</t>
  </si>
  <si>
    <t>안녕하세요.
차별적인 제품으로
건강을 넘어 기적을 선물해드리는
'차별⭐삼윤맘' 입니다.
피트라인 탑엠버서더
오늘은 11월에 가장 저렴한 액션팩으로
독일피엠쥬스 2종 구매하는 방법 알려드릴게요.
(역대급 최저가격으로 구매가능)
🙌빠른내용요약
매년 5월, 11월 에 판매하는 액션팩
오토십보다 저렴하게 피엠주스 구매가능
1인 2세트 구매시 파워칵테일, 리스토레이트 각각 2박스씩 무료증정
5+1무료배송, 단품구매가능
구매시 유의사항
액션팩의 달
독일PM 액션팩 프로모션이 뭐에요?
매년 액션팩만
기다리는 분들이 계십니다.
저도 너무나 기다렸던 11월 이에요.
피엠 비타민쥬스를 드시는 분들에게는
크리스마스 선물같은 달이기도 합니다.
매년5월, 11월에만 진행되는
독일PM의 액션팩 프로모션은
평소보다 훨씬 저렴한 가격에
파워칵테일+ 리스토레이트 핵심제품 2종을
구매할 수 있는 기회입니다.
액션팩 구성
온 가족 건강챙기는 분들에게
가장 합리적이고 경제적인 방법이에요.
그런데 이번달은 역대급 프로모션이네요.
'사장님이 미쳤어요! ' 가 생각나는
단 한번도 없던 프로모션입니다.
11월 액션팩 7주년 프로모션
진...짜.. 미쳤죠?!!!
이번달에 꼭! 구매해야하는 이유입니다.
피트라인 액션팩 왜 가장 경제적일까요?
액션팩은 사업자들에게는
사업을 확장할수 있는 기회이고
소비자에게는
PM의 블랙프라이데이 같은 시기입니다.
-파워칵테일+리스토레이트 1세트 가격비교-
일반 소비자(정상가) : 198,375원
회원가입 후 팀파트너 : 158,700원
오토십(정기구독) : 137,100원
BA 스페셜가 : 119,040원
액션팩가(5월,11월) : 109,120원
액션팩2세트구매시 : 90,933원
가장 저렴한 11월 액션팩프로모션
7주년 특별이벤트로
액션팩 2세트 구매시
파워칵테일2개 + 리스토레이트2개 를
추가로 드리니
액션팩 2세트 구매하시면
단품1세트 가격이 90,933원에 구매할수 있는
역대급 최저가에요.
액션팩, 이런분들께 추천드려요.
1. 피엠 최저가 혜택
독일피엠 정품을 구매하고 싶은데
그동안 비용이 부담이었거나
조금 저렴한 비용으로
먼저 체험해 보고 싶은분!
오토십보다 약 3만원 절약할 수 있어요.
2. 가성비 좋은 구매
가족이 함께 마셔서
피엠이 금방 소진되는 분!
피엠제품으로 해독하시는분들에게 강추드려요.
3. 연말, 새해선물 준비
부모님, 지인분들께
연말선물로 유명한 독일건기식
선물해드리고 싶은 분!
크리스마스선물, 연말선물, 새해선물 추천드려요.
11월 액션팩 프로모션 기간
지금이 기회입니다.
5+1 로 구매시 본사에서 무료배송을 도와드리며
가격은 545,600원 입니다.
일반소비자가 기준 45% 할인된 금액이에요.
독일피엠 액션팩은
오토십을 보유한 팀파트너만 구매가능합니다.
하.지.만!!
오토십이 아니시거나
회원이 아니시더라도
구매가능하도록 도와드리니
주저하지 마시고 댓글이나 톡톡주세요.
망설이면 품절입니다.
지인들과 함께 공동구매 하셔도 좋아요.
1인당 구매가능한 액션팩 10세트
다른 피엠제품이 궁금하시거나
직접 구매를 원하시면
독일피엠 회원가입은
아래글을 참조해주세요.
가장 싸게 먹는 독일피엠 회원가입 방법 최신버전 : 네이버 블로그
가장 싸게 먹는 독일피엠 회원가입 방법 최신버전
안녕하세요. 차별적인 제품으로 건강을 넘어 기적을 선물해드리는 '차별⭐삼윤맘' 입니다. 오늘...
blog.naver.com
피엠주스 전국구 택배 가능하고
부산 지역은 빠르게 전달 가능해요.
쿠팡아닌 차팡👌
궁금하시면 아래 톡톡 배너 누르시고
언제든지 편하게 문의주세요.
궁금할 땐 네이버 톡톡하세요!
건강하고 이쁘게 나이들어 가고 싶은 분들은
이웃추가 후 빠르게 소식 받으실 수 있어요.
주변에 이글을 공유해주시거나 스크랩
무조건 가능합니다.
개인별 상황에 맞는 맞춤형 Q&amp;A 해드려요.
독일피엠 추천인 8464252 차소현</t>
  </si>
  <si>
    <t>https://postfiles.pstatic.net/MjAyNTExMDJfMTUw/MDAxNzYyMDE4MTcwOTgz.fUd6ft5pv6AX5AXSMqaqBLqxH2odcPSaXHwpmIDPhaYg.b3jMaSZqlM_jVWa0TecT6mW2qPYCXfDV5GBqcspp1Uog.PNG/SE-390a14be-a67c-4629-a02c-d757c442d6f8.png?type=w80_blur|||https://postfiles.pstatic.net/MjAyNTExMDJfMjM5/MDAxNzYyMDE4MjgzMzE5.-lK48gCA1cJ14YlpW7aGLr_qmti8GP49BCn5u50tkRYg.-ANyX19h7tsQzKkzYLaPu49hR5Bnu72rBihEjdcys4og.PNG/SE-6abce033-c58d-472f-91da-ef940c92e888.png?type=w80_blur|||https://postfiles.pstatic.net/MjAyNTExMDJfOSAg/MDAxNzYyMDE4MjgzODY3.lJI-gnt8yMxUxK4b4i_lr2ziipgQdwb3VsH7cfDNoVsg.JA511eJH193ctKTLcVfpjtRULcJ9E3c3oIwLwj_CIHYg.PNG/SE-29658725-cbb1-451a-b944-fe8ea051dd6e.png?type=w80_blur|||https://postfiles.pstatic.net/MjAyNTExMDJfMjQ4/MDAxNzYyMDE4Mjg0Mzk2.8eX6cmF7gVhYpJaCjw8pxLuqFXzebAn4VQm4GFKcU1Ug.RAyz9Ha2Nkzw5Pg5A2JzWzgMgs8rbixwaRsKlq1fp_Mg.PNG/SE-9ad70bb5-6fbb-46ef-8b76-52c98bbef73e.png?type=w80_blur|||https://storep-phinf.pstatic.net/motion3d_02/original_20.gif?type=pa50_50|||https://postfiles.pstatic.net/MjAyNTExMDJfMjk1/MDAxNzYyMDE4Mjg0ODM3.Y1z5efflX0JJP78RuupdI_ukMYXiCq9_r3EHFba_9QAg.0XMsE13sHPlNMKppGTe8eA3AsnydYzW_5nTkAMJGwYMg.PNG/SE-92f104f3-146d-47f8-ba66-7d2094296f67.png?type=w80_blur|||https://postfiles.pstatic.net/MjAyNTExMDJfMjAy/MDAxNzYyMDE4MjgyNzk1.a8MXPq0rbGDSisZwNsC7vpkiiOEO1skw5XpgiNWRLqMg.wXMLEEn4G4nmcLcSxrQEu7jrwasd7ryz0ls5FON6Pm8g.PNG/SE-a255b019-ca4c-4baa-816c-050e81787c8c.png?type=w80_blur|||https://dthumb-phinf.pstatic.net/?src=%22https%3A%2F%2Fblogthumb.pstatic.net%2FMjAyNTA5MjFfOTIg%2FMDAxNzU4NDY1MTA0OTYz.Eyk4SPskwQDJjd1CBVOD3i8B-JaRmLREZKyIH8sVEswg.qsRkgGu1jcRLyc4-AyuPaKYM9hnC-AQ8j5qN6B0d-Ocg.PNG%2Fimage.png%3Ftype%3Dw2%22&amp;type=ff500_300|||https://storep-phinf.pstatic.net/ogq_5bd1601364309/original_12.png?type=p100_100</t>
  </si>
  <si>
    <t>10월 마무리, (이번엔 별로 안 늦었...... : 네이버블로그</t>
  </si>
  <si>
    <t xml:space="preserve">힘들었어요  피트라인 이벤트 득템 이번에 이벤트 하길래 디스펜서 구입했어요, 깔끔하고 이쁘네요 ㅎㅎㅎㅎ  코스트코 바질 토마토 피자 코스트코 바질 토마토 피자 먹었어요 역시 실패 없는 코스트코... </t>
  </si>
  <si>
    <t>blog.naver.com/s_hmm</t>
  </si>
  <si>
    <t>https://blog.naver.com/s_hmm/224061481833</t>
  </si>
  <si>
    <t>s_hmm</t>
  </si>
  <si>
    <t>DJI MIC MINI test
재생
1
좋아요
0
00:02
DJI MIC MINI test
🎥DJI 마이크 미니 10개월 만에 첫 사용!
드디어 10개월 만에 DJI 마이크 미니를 제대로 써봤어요
이제서야 써본 나... 그럴 거면 왜 샀니... 자책 중이에요 ㅋㅋㅋ
ASMR도 가능하겠더라고요!?
종종 ASMR로 놀러 올 수 있도록 부지런히 움직여볼게요!
🍢 평택 욜로미미사양꼬치 - 식어도 맛있는 진짜 찐 맛집
여기 평택역 근처에 있는 욜로미미사양꼬치인데
양꼬치가 식어도 맛있어요 진짜!
양고기 냄새도 안 나고 육즙 가득~
존맛탱 인정, 드셔보세요🩷
Next image
🚴‍♀️ 하루 종일 달린 저의 하루 - 추석 당일
09:00 홍성 출발 - 홍성 도착 - 점심 먹고 - 수다 떨고 - 평택 이동
17:30 평택 도착
18:00 가게 도착 - 엄마랑 용이동으로 밥 먹으러 - 집 이동
20;30 집 도착과 동시에 배달 출발
23:40 배달 종료
이 모든 것이 하루에 일어난 일이에요
올해 제일 뿌듯했던 날이 아닐까 싶어요,
Fun fact, 이날 배달의민족은 15만 원 / 쿠팡이츠는 25만 원의 미션을 뿌렸다고 해요
(금액은 정확하지 않아요)
🍣 코스트코 연어 초밥&amp;롤 콤보 후기
드디어! 코스트코 연어초밥 콤보 먹어봤어요 🧡
연어도 맛있지만 저는 롤이랑 새우가 더 맛있더라고요!
다음엔 참치도 먹어보고 싶어요!
🏃‍♀️ 러닝 하러 나갔다가 걷기만 한 날
러닝에 빠져보자 하고 나갔는데 결국 걷기만 하고 왔어요 ㅋㅋㅋ
그래도 기분전환 완료 ✨
러닝기록
재생
0
좋아요
0
00:02
러닝기록
🎬 릴스 도전기
이런 영상도 찍어봤어요!
릴스의 세계... 쉽지 않네요!
😭😭😭
🍚 반찬 맛집 - 고등어보다 반찬!
고등어보다 밑반찬 먹으러 가는 곳이에요
밑반찬 무조건 2번 이상 리필해야 해요!
다음번에 가면 생선구이 + 고추장불고기 조합으로 먹으려고요.
📺 TV는 따로 없고 컴퓨터로 보는데
그래서 스탠바이미 딱히 필요 없는
#루나랩모니터암
좋아요!
🌕 달
다이소 가다가 소방관분들 달 찍고 계시길래
같이 봤는데, 달이 진짜 너무 크고 이뻤어요!
이런 게 바로 소확행, 힐링 아니겠어요?
🧴 톤업선크림
스킨푸드 토마토 선크림 사용하다가
그다음에 사용한 게 몇 년째 사용 중인 이 차인박 톤업 프로텍션 선크림 ㅎㅎ
패키지가 새로 바뀌었는데 진짜 예뻐졌어요!!
🩷🩷
🌿잘 가, 바질아..
바질에서 자꾸 정체 모를 버섯이 나길래,
새로운 흙을 구입해서 바꿔주었는데요
다음날도 그다음 날도 살아나지를 않아요 ㅠㅠ
지금은 루꼴라도 없네요...
Next image
🏍 쿠팡이츠라이더
미션 뿌릴 때 슬쩍 나가서 배달하고 왔어요,
송탄에서 쿠팡 이츠 미션 하기 진짜 힘들어요
8건 2만 원 미션 주고는 7건까지 1시간 만에 했는데,
나머지 1건은 한 시간이나 기다려서 했어요 ㅋㅋㅋㅋ
Next image
🪑 책상 교체
점심으로 엄마 가게에서 김밥이랑 떡볶이 포장했어요
로제 떡볶이 진짜 존맛
모션 데스크 구입해서 모션 기능을 하나도 안 써서 언니한테 보내고
새로운 책상 구입했어요
제일 큰 단점은,
틈이 있어서 이물질 떨어지거나 하면 청소가 어려워요😅
10점 만점 중에 6점 정도...
Next image
이케아 뢰달름 / 산로 스위치 커버
🖼️ 이케아에서 액자 사서 미니 경첩으로 움직일 수 있게 달아줬어요
비포 애프터도 있어요
요즘 택배도 배달도 문 앞에 놔주세요 요청하니까
사실상 사용할 일이 없어서 안 이쁘더라고요
그래서 가렸습니다!
아예 가린 거 아니어서 누가 초인종 누르면 위로 올리면 되는걸요.
🚗용인 운전면허시험장
운전면허증 사진도 바꿔야 해서 직접 방문했는데
연휴 아니었는데 사람이 왜 이리 많은 건가요!? ㅎㅎㅎ
Next image
🏃‍♀️👟 롯데프리미엄아울렛 기흥점
러닝도 안 하면서 러닝화 구입했어요
이쁜 거 없으면 구매 안 하려고 했는데,
마침 딱 제 사이즈 한 켤레 남아있길래 데려왔습니다!
이쁘죠!?
나이키 빨리 가려면
B2층 주차장 E7에 주차하시면 돼요!
Next image
🏺 이케아 코스,
쇼룸 구경 (컴퓨터방)
구경 후 커피 &amp; 디저트
인스타360 카트에
인스타에서 리폼한 화병
자연순환허브
🖼️ 스위치랑 가릴 액자,
블랙으로 컬러 체인지 해줬어요
사포를 열심히 문질러서 페인트칠 했는데,
젯소 바를 걸 그랬나 봐요 ㅠㅠ 힘들었어요
🧴 피트라인 이벤트 득템
이번에 이벤트 하길래 디스펜서 구입했어요,
깔끔하고 이쁘네요 ㅎㅎㅎㅎ
🍕 코스트코 바질 토마토 피자
코스트코 바질 토마토 피자 먹었어요
역시 실패 없는 코스트코 먹거리!
🦀 평택 고덕 맛집 - 함박산 마포갈비
같이 일하는 반장님 추천으로 간 곳인데,
양념게장 존맛탱🦀
갈비 존맛탱 🥩
선짓국 존맛탱 🤯
평택 고덕 사시는 분들 꼭 가보세요!
💸건설근로공제 적립 완료!
7~9월 다 적립됐어요!!!
적립일수 1000일 채워보고 싶어요
🧾 화성에서 9월 최다 근무 인증
7~9월 내내 열심히 일한 덕분에
10월 월급도 아주 잘 받았습니다!
🎃송탄 할로윈 구경
송탄 쇼핑몰 거리 사람 정말 많았어요!
양꼬치, 닭꼬치, 스타케밥까지 폭풍 흡입 ㅋㅋ
진짜 스타케밥은 꼭 드셔보세요🌯
존맛탱입니다!
🕯 일광전구 - 조명 맛집입니다
요즘 핫한 일광전구 구입했어요
생각보다 훨씬 힙하고 분위기 미쳤어요!! ✨
부엌 분위기 확 달라졌어요
🕯 조명 - 일광전구
🪩스테인리스 선반 - 치킨인더랩
🌿식물 - 풋내
위에 다른 거 올 때까지 잠시 향수로 대체!
📺젠지 VS KT 전 시청했어요
요거트월드도 시켰어요</t>
  </si>
  <si>
    <t>#루나랩모니터암</t>
  </si>
  <si>
    <t>https://postfiles.pstatic.net/MjAyNTEwMDlfMjA2/MDAxNzYwMDE2ODYwODc1.3JInY226Fsbfx68H0-L1WoZMabk54Pv7QPCVuFxOxFYg.g91drC75CU3jepUBZP3YHH3UAMDNWvS3H2yv2AIR68Ug.JPEG/%EC%9D%B4%EB%AF%B8%EC%A7%80.jpg?type=w80_blur|||https://postfiles.pstatic.net/MjAyNTEwMDlfMjUw/MDAxNzYwMDE2ODYxMTUy.zHmQuuBMp5ewgoinbkhCbmKM6Z6TE_e4Q-nM92nexkMg.a9zmYU3wYwiKgqkFN2MXUwe7U0j8hwuUQ3iF5IOsFJ0g.JPEG/IMG%EF%BC%BF6731.jpg?type=w80_blur|||https://postfiles.pstatic.net/MjAyNTEwMDlfMTE0/MDAxNzYwMDE3MTE2MzAz.76vncBgkvrl30v3VrVkb58MIZVjkU_WGKBnLK0aW5okg.hrdSsBCV_YBl3QQqCDXva5EN6MjOlaMbg3DQYJB7Tlgg.JPEG/IMG%EF%BC%BF6760.jpg?type=w80_blur|||https://postfiles.pstatic.net/MjAyNTEwMDlfMzEg/MDAxNzYwMDE3MTE2NTEz.kUKeF6X83t9BHW-ZyWUPekBhkDYzLD2Eba5HQyJiaZ0g.xYQRXthG57Mzwf3Kjx_vU9NfIqZ0NauUOinC52LSNcwg.JPEG/IMG%EF%BC%BF6761.jpg?type=w80_blur|||https://postfiles.pstatic.net/MjAyNTEwMDlfMjQy/MDAxNzYwMDE3MTE2MzY2.GgnJw2e9nG0AWB8lLVwDX4ru4W_EX7KuDOlW2cYoQcUg.97vKCfVG0gSThN0IlFHmfSR6rJd2JjGWOnUwKOLF1cwg.JPEG/IMG%EF%BC%BF6763.jpg?type=w80_blur|||https://postfiles.pstatic.net/MjAyNTEwMDlfMTEg/MDAxNzYwMDE3MTE2MzU5.RA9jKkn-5MG-pcZYRq0kMPmSUHYTjuxPmC4OAo5UIGwg.L_E_qo_RgvQds_kIqKAaE-t1PnpP99tCaykW0aft2kMg.JPEG/IMG%EF%BC%BF6764.jpg?type=w80_blur|||https://postfiles.pstatic.net/MjAyNTEwMDlfMTUx/MDAxNzYwMDE3MTE1NzM4.dG8DTrTz2mNfXHVEg8RjiTIz9deERcUGvoNBUSbWJUwg.R3moXex_vhTMF60sA49MTzOJjcftpm1Xat8tiQenyDwg.JPEG/IMG%EF%BC%BF6765.jpg?type=w80_blur|||https://postfiles.pstatic.net/MjAyNTEwMDlfMjcg/MDAxNzYwMDE3MTE2NDIw.NORnWMqpJyxis0eGxokRPyYU91QHUe_W8t6YfWGF_CQg.lcb70E3VMSOfwHDVHZEc7ub2CastcsED6nHxdZE2q_0g.JPEG/IMG%EF%BC%BF6769.jpg?type=w80_blur|||https://postfiles.pstatic.net/MjAyNTEwMDlfMzAw/MDAxNzYwMDE3MTE1Nzgz.ESYciRxdWJOnz7jAJyXH0sw7wU1O1ptuIN5Nwk3T4scg.C3DBqcP_LDbgcjIHZzqg249ESG0Gp_UZu-MlrpyNxcEg.JPEG/IMG%EF%BC%BF6773.jpg?type=w80_blur|||https://postfiles.pstatic.net/MjAyNTEwMDlfMjYg/MDAxNzYwMDE3MTE1NjA3.IU1NNXACpoBKcZgy9Afd6teI3pWgq2t-TnRYdOu7HR4g.dCl8nabovoiVu5icIhZi8cNpbfjwBHuzjwYpBxqtMk4g.JPEG/IMG%EF%BC%BF6775.jpg?type=w80_blur|||https://postfiles.pstatic.net/MjAyNTEwMDlfMjYz/MDAxNzYwMDE2OTA3MTQ5.qLHYTK15mtM3rAymADjadqI3CUShiQQBzYtkBjZVI68g.azsKRfsbPXzslcSt9v6o7QgKooq_1uVjWiXWP1zSmiUg.JPEG/IMG%EF%BC%BF6794.jpg?type=w80_blur|||https://postfiles.pstatic.net/MjAyNTEwMDlfMjcw/MDAxNzYwMDE2OTA3NTc1.uP6n5NVXRBEK5oB5tESxOG0gvCCITOnokV4eFNGFqjUg.HTu9U1o7vawtrRbwPOle6sDAf1Dg1VgC73YiDr9kANkg.JPEG/IMG%EF%BC%BF6793.jpg?type=w80_blur|||https://postfiles.pstatic.net/MjAyNTEwMDlfNDEg/MDAxNzYwMDE2OTA3MjYy.p09AV4ITAeKqeS_62UnOIK6rBC1vbp9dSRiyY5RC1gYg.0sUbCxZSZtdjb0ziBPJaYLkNgbN1FN0Zq0TNX2Yl3qYg.JPEG/IMG%EF%BC%BF6803.jpg?type=w80_blur|||https://postfiles.pstatic.net/MjAyNTEwMDlfNTcg/MDAxNzYwMDE2OTYwNjE0.8ehYGPcXunp2jKifqx0ActVKP3RwjDvrsHlflU0xrYkg.uCKbD2p81Bf3tP6kWIBt9Gt6bgt89bHgLqAZc-syL-Qg.JPEG/output%EF%BC%BF778304085.jpg?type=w80_blur|||https://postfiles.pstatic.net/MjAyNTEwMDlfMTkz/MDAxNzYwMDE2OTA3NjQ1.6u1wcLB_Hk69f53oeUDeLFtsDOvG6jOED-bF3V0duwAg.msuOFoJBH9xFbH82GkOT6M5ZZuZ2uXRH49g0nUkFUqIg.JPEG/IMG%EF%BC%BF6828.jpg?type=w80_blur|||https://postfiles.pstatic.net/MjAyNTEwMDlfMjgw/MDAxNzYwMDE2OTA4MTYz.ggN2V9so3VQYp4ZA0QBD7cohUcRR64bAlrbpwOm16kcg.WPLDQwc6_0zwA-5j9ZXMRWUmbhFVMOxrq-jssfePwRsg.JPEG/IMG%EF%BC%BF6832.jpg?type=w80_blur|||https://postfiles.pstatic.net/MjAyNTEwMDlfMTQ3/MDAxNzYwMDE2OTA3NTk5.GHBzHPdPNbvBufoKoPvBHK5c-RI7bnF334-CvOJKN2Eg.ry1CRshFAK88xMfhIqNNL2WGH0qlQNJ6trTbLXLrhnAg.JPEG/IMG%EF%BC%BF6833.jpg?type=w80_blur|||https://postfiles.pstatic.net/MjAyNTEwMDlfMjcy/MDAxNzYwMDE2OTA3MzUy.-4-xPRx8P3B8ZGi_4FXuSvleuy4IIZkUX0CjoMQIT5Ug.SlL0cUO267oY1_NRtuFNIIohExUSGLPg5Prptug4L9gg.JPEG/IMG%EF%BC%BF6865.jpg?type=w80_blur|||https://postfiles.pstatic.net/MjAyNTEwMTBfMTYw/MDAxNzYwMDg5MTg4NzQz.-hCKgNFXxxIPRlFXtc2o2xIxVQt7CqHXU2X8dK2Hymgg.s0PNGICtWpYwZYfJFjkCvioZv99lUpGZfxbTpvl9L3Ug.JPEG/IMG%EF%BC%BF6904.JPG?type=w80_blur|||https://postfiles.pstatic.net/MjAyNTEwMTBfMTEx/MDAxNzYwMDg5MTg4ODYw.9ErlzzK8bxJ961DW9XRqL5Drqkjl9ZHNCM4pDD2rDKgg.QoxNLlFNwcUP8xPK6HF93Lw2_R_Er40jGWgoCre5Bhgg.JPEG/IMG%EF%BC%BF6905.JPG?type=w80_blur|||https://postfiles.pstatic.net/MjAyNTEwMTdfMTEz/MDAxNzYwNjYzMzMyMDgx.4PLmwSrl6FjzvGvCJeysBANjGmg1AjophtE2m4HkmwIg.Swb1ILveEfYBg_HwzuMGXnjRuPla6PonL_EjNGaY31Yg.JPEG/IMG%EF%BC%BF6917.JPG?type=w80_blur|||https://postfiles.pstatic.net/MjAyNTEwMTdfMjky/MDAxNzYwNjYzMzMyMjgy.v1XufR8iBATzX0yD5zrtxpixZKH4fZjv65mt7e-yvaUg.0mJSiUOWZdDzQszDBSWU9_3yuhEPsORmapiXWRVZkn8g.JPEG/IMG%EF%BC%BF6918.jpg?type=w80_blur|||https://postfiles.pstatic.net/MjAyNTEwMTdfODcg/MDAxNzYwNjYzMzMyMDc2.x0W1n9BhSaIiw7xynl0XnLgQydnvaqpxRZFg5_mcmOQg.5xCkP1fZ72OpfA3_J5oDwOPxDUDhJ9aUWxlTJHDa-W8g.JPEG/IMG%EF%BC%BF6920.jpg?type=w80_blur|||https://postfiles.pstatic.net/MjAyNTEwMTdfMjQ3/MDAxNzYwNjYzMzMyNDUy.G_0ei4u4Ak2IyCbNxG26_BlXeG5m_BdAq1z_xfEe1ogg.-TsPItRjeUe3PTvBU7uRASqFumS-xaSBKfA63v_Jt3Qg.JPEG/IMG%EF%BC%BF6921.JPG?type=w80_blur|||https://postfiles.pstatic.net/MjAyNTEwMTdfMjQg/MDAxNzYwNjYzMzMwMTIx.tcs0z3bDVvAzMYF50qvppHzgxWKObJK35eagGLA5Ob4g.L2XD56rMHoCemNlWVE4RbJd5tHGxai8BiXwVuwxXFmIg.JPEG/IMG%EF%BC%BF6928.JPG?type=w80_blur|||https://postfiles.pstatic.net/MjAyNTEwMTdfMzkg/MDAxNzYwNjYzMzMyODMz.Jl-hX3n9Px8nnEG1j0KhGCSyiRVUvLid55T_VU5fwX0g.MM9CXRg0EFM6DiqRiVdLet5oUsfnrk81ADcjdYOdzKog.JPEG/IMG%EF%BC%BF6929.JPG?type=w80_blur|||https://postfiles.pstatic.net/MjAyNTEwMTdfMjQw/MDAxNzYwNjYzMzMwMzEz.O28aAH-ioOcy7h8o4xpF2C4d8ZiiTd_dqEFxth7wNYog.2UxJk5X10rZBAZbY4WYH9y7lhzeFMnVEPsIXb910xvwg.JPEG/IMG%EF%BC%BF6931.JPG?type=w80_blur|||https://postfiles.pstatic.net/MjAyNTEwMTdfMTI2/MDAxNzYwNjYzMzMwMzcx.J5shudsO6ySQdReNqepXxKpMf9FJcQGSCnhy_iY83sAg.nqzrwPxFiBW6zE784QamFZzv9cCzO6k0vPQjYnqZdAQg.JPEG/IMG%EF%BC%BF6932.JPG?type=w80_blur|||https://postfiles.pstatic.net/MjAyNTExMDFfMjYy/MDAxNzYyMDAyNzgwMDk0.yGStLPRcUABX3lrXnNdS7o8f72c2k65cMN9g4s1mJrAg.-gdpHmtriTXCsESFTLLE_o1ZfzzE7Yh9kOw32pXMdtcg.JPEG/%EC%9D%B4%EC%BC%80%EC%95%84_%EB%A2%B0%EB%8B%AC%EB%A6%84.jpg?type=w80_blur|||https://postfiles.pstatic.net/MjAyNTExMDFfMjg1/MDAxNzYyMDAyNzgwNjI3.apWfUuv_2txWOuuPjKnEwY2_waw64qsnnXsnehJgqi8g.Od8qDvKT_y1wx6XJU8MoAaIP4_LK4LKFAkTFZFzYHmYg.JPEG/%EC%9D%B4%EC%BC%80%EC%95%84%EC%95%A1%EC%9E%90_(1).JPG?type=w80_blur|||https://postfiles.pstatic.net/MjAyNTExMDFfMTM3/MDAxNzYyMDAyNzgwMTA5.veKLcoefqyz27RKAv9kEU3dIGANOUmHZ1A5YVUOtDuIg.XzAhg6nqPdu3Hzj_R3Igw67bau0M9xbWTAsacyW83ucg.JPEG/%EC%9D%B4%EC%BC%80%EC%95%84%EC%95%A1%EC%9E%90_(3).jpg?type=w80_blur|||https://postfiles.pstatic.net/MjAyNTExMDFfMTYg/MDAxNzYyMDAyNzgwMTE5.Sn5fEd260FbJ22seeYujMUfHJ7m3WSRSkA6gOFV0FP4g.Q_CnIVcw4mmT3gRGt8xLBAO4uMMR0Mwjlcil-1uuD_wg.JPEG/%EC%9D%B4%EC%BC%80%EC%95%84%EC%95%A1%EC%9E%90_(2).jpg?type=w80_blur|||https://postfiles.pstatic.net/MjAyNTExMDFfMjA4/MDAxNzYyMDAyNzgwNDcx.Kzwv5urdr5_CQfUJnPqm5p8g7UNjPlW4klMEoseh6Pcg.ZE5c0E9wG0Wffd6RJSCsWfEvF2GmPyrnkmc69EEvpEwg.JPEG/%EC%9D%B4%EC%BC%80%EC%95%84%EC%95%A1%EC%9E%90_(4).jpg?type=w80_blur|||https://postfiles.pstatic.net/MjAyNTExMDFfMjI0/MDAxNzYyMDAyNzgwMDUw.dmojIGKA7prfW7WxOOveXghv1LAlFBdcxTmCY_e7Fhsg.5XmQH72tOexVLfcjyKQVFpPpZyZ21-YtWRslTUDaLA8g.JPEG/KakaoTalk_20251101_221215624.jpg?type=w80_blur|||https://postfiles.pstatic.net/MjAyNTExMDFfMTY3/MDAxNzYyMDAyNzgwMTA1.Jq6LzQg6Ov5XP7kuzpe-pqictOhsxDSI4i_vHxsVMzkg.HFT_je-UxqOv85ngjftY-yfzlM1qtKayXABd4wI4w9sg.JPEG/IMG%EF%BC%BF7604.jpg?type=w80_blur|||https://postfiles.pstatic.net/MjAyNTExMDFfMjAg/MDAxNzYyMDAyNzgwMjcz.3cGzAQ3mXaBAmitq9rNHKuxb6CjU9FsWlB281--0Rssg.dDOjuf-WfL-GDCUQaUiIGyUt9edEGliS-UPhYKStWCsg.JPEG/KakaoTalk_20251101_220826341.jpg?type=w80_blur|||https://postfiles.pstatic.net/MjAyNTEwMTdfNjEg/MDAxNzYwNjYzMzMxNTk4.pf0N2iZ8nEVr-kSKN7ZSnEFVVVpj3Y3JMSnW3j7onNMg.pT-KOfORfsDipEyDxzSHve3_G7q801AZQmWhalbCx6Ug.JPEG/IMG%EF%BC%BF7195.JPG?type=w80_blur|||https://postfiles.pstatic.net/MjAyNTEwMTdfMjc3/MDAxNzYwNjYzMzMzNTYy.f9Nga0LEObbleUfTUDsPufSTDGrBHuGDM9jujotXcVIg.xZ8AOtnopfSV9w98gxsQHiC6l8JdnBlOYbivH4q0fKsg.JPEG/IMG%EF%BC%BF7204.JPG?type=w80_blur|||https://postfiles.pstatic.net/MjAyNTEwMTdfMTQx/MDAxNzYwNjYzMzMxNTU1.NSLgcJ84-G6yF-qn1o585x9nnH-Qx5H6erFATJh4vkUg.G6e9c4MLP7hKgYLLfZ8-E1M1x8wGSFZdvOdoRlPmQvEg.JPEG/IMG%EF%BC%BF7210.JPG?type=w80_blur|||https://postfiles.pstatic.net/MjAyNTEwMTdfMjMy/MDAxNzYwNjYzMzMxMDQw.FWc6Tf8Upd3qkzrd52_lLiEyZNV863HT5C_u4Yh8s2og.oakCxAt4hk_4pJKI9xjrCQy9CfFnFwDUJB4PWu8vl4Eg.JPEG/IMG%EF%BC%BF7217.JPG?type=w80_blur|||https://postfiles.pstatic.net/MjAyNTEwMTdfMTUg/MDAxNzYwNjYzMzMxNjUy.TO1tRFfpegHTrMlXxkSYYI1FvLIbUBwfCOelW5RYuAcg.3ke_jmOyknN-UUtlT3m1O7OYRy78w1hWRNGYEGh-H1og.JPEG/IMG%EF%BC%BF7224.JPG?type=w80_blur|||https://postfiles.pstatic.net/MjAyNTEwMTdfNTIg/MDAxNzYwNjYzMzMxNjQ3.2utd58-jBKPX0v7PmdXQqNlCBDj3bNnt49PQmUwM4Pgg.K-wmDDrmNSd0DlL3RqjHUFlfiSXeSDwhbj1zzTD8bD8g.JPEG/IMG%EF%BC%BF7225.JPG?type=w80_blur|||https://postfiles.pstatic.net/MjAyNTEwMTdfMTky/MDAxNzYwNjYzMzMyNDc0.iQDrtNwZVA1Ne-zRnfS06zNS0XVp5vEYfDTwBSiBZU4g.ZK7xqevSl0QjjkTk_mjpKetd76lZfSn7MiEoS0oEEK4g.JPEG/IMG%EF%BC%BF7228.JPG?type=w80_blur|||https://postfiles.pstatic.net/MjAyNTExMDFfMTg5/MDAxNzYyMDA2ODkzMTky.TUcM_A5bta-wG-gfcgwCgdU9NpcXI5wLr96TfpwPZKAg.1kNFUPUEr0NRO26zIbuJvGk5a7Jyf6F-hLJC4lI-ae0g.JPEG/KakaoTalk_20251101_231957297.jpg?type=w80_blur|||https://postfiles.pstatic.net/MjAyNTExMDFfMjQg/MDAxNzYyMDA2ODkyOTI1.boDXN-VeRpqQsWX26uMmzwr9s-rFVdq-DLRt1Zvb14Eg.DXWPhnnrpMzhl0k0LqFN5fDCpvV59OR4wz1kceByuW4g.JPEG/KakaoTalk_20251101_231957297_01.jpg?type=w80_blur|||https://postfiles.pstatic.net/MjAyNTExMDFfMTEz/MDAxNzYyMDA2ODkzMzI1.k9lu8gRtmT1H0OHAave_IztPdbDw4W3ppXhoQsM6ywAg.PuDgliEypeigu4sOmDOUh1sVyzVEG00TcKuWdkMq-MAg.JPEG/KakaoTalk_20251101_231957297_02.jpg?type=w80_blur|||https://postfiles.pstatic.net/MjAyNTExMDFfNjUg/MDAxNzYyMDA2ODkzNDI2.t5SoTSOkuOI7dbdQeAzVHQ87sTfdPMEDGQSG-gDENi8g.GEXD-Ui1agszCbFCBnafsAgQNKb9jdHFQ86utdNFXEcg.JPEG/KakaoTalk_20251101_231957297_03.jpg?type=w80_blur|||https://postfiles.pstatic.net/MjAyNTExMDFfMjQ1/MDAxNzYyMDA2ODkzOTc5.hLLhavxUcP7oaiSIBqY1KV6hDW_Kt4sH-2YZe9U5JKIg.EToFWUc7-9hHHBIZnfnp9o5C3R_GLe2bbSb8Ol36R6Qg.JPEG/KakaoTalk_20251101_231957297_04.jpg?type=w80_blur|||https://postfiles.pstatic.net/MjAyNTExMDFfNTkg/MDAxNzYyMDA2ODk0NDIw.l7kIzBzbWS6ltSXEWJ2ZXw-a6o2j0crxxZiQ2PCZcE0g.ie2150zXBk-as67y9QqCgEUrLbc7jjNmrRSFNbYxbC0g.JPEG/KakaoTalk_20251101_231957297_05.jpg?type=w80_blur|||https://postfiles.pstatic.net/MjAyNTExMDFfMTY1/MDAxNzYyMDA2ODk0Njc5.zpUg02X4rgtvlcwvx80tt2JZbCTbOLmcKIDr9yoao4wg.wLrLjJdqNIvGFHuGpY7PEzywvUrmUA3WDpT2ofFu7ZUg.JPEG/KakaoTalk_20251101_231957297_06.jpg?type=w80_blur|||https://postfiles.pstatic.net/MjAyNTExMDFfMjY5/MDAxNzYyMDA2ODkyOTk0.FU3_5aiPcRoppM1ScLC1szLmaE5AzxVqerXaoWe0VDQg.XI9BGwlpgF6xA1Gbh-VqQfxZ62hPWXfB7b3Gj0awtjgg.JPEG/KakaoTalk_20251101_231957297_07.jpg?type=w80_blur|||https://postfiles.pstatic.net/MjAyNTExMDFfMTkw/MDAxNzYyMDA2ODkyNTE5.e9Ce-q3SE3beo_eub5XVHCFkuS6w9YsB8_Wc_vQWdtMg._CbdT-tBb5zoHcihwwG-gysWBK1s1gcy3uo_mXJrWaIg.JPEG/KakaoTalk_20251101_231957297_08.jpg?type=w80_blur|||https://postfiles.pstatic.net/MjAyNTExMDFfMTE1/MDAxNzYyMDA2ODkzMTI0._dIvH3brvOUWlvKi2lo46jVLsTbnUgrUTROueX_Khx4g.m4kWXEQbAryZOMXPLbKqxbGfxup6jVbXnSWCRBaQAyEg.JPEG/KakaoTalk_20251101_231957297_09.jpg?type=w80_blur|||https://postfiles.pstatic.net/MjAyNTExMDFfMTUg/MDAxNzYyMDAwMTIyMjMw.-YESf63HxyEYnXW31WZZXoxWmoit90SUITQMTM6wkycg.WzlLBzhfLgEh6TPGxQPt92pPqlDC6HqnSS2LLgsGRsgg.JPEG/IMG%EF%BC%BF7273.jpg?type=w80_blur|||https://postfiles.pstatic.net/MjAyNTExMDFfMTA5/MDAxNzYyMDAwMTIyODkx.dGMHzdHXSn7xFkscF_UysaDheXfVdqcz2J1NVfhg5rcg.vx0hdfuy-wuoeMvpSLguDBPWGZ4didpNxlCMV1De180g.JPEG/IMG%EF%BC%BF7490.jpg?type=w80_blur|||https://postfiles.pstatic.net/MjAyNTExMDFfMzQg/MDAxNzYyMDAwMTIyMjI5.Az2-vLoeqnLGmYSuvfw8YC1XU3X2zQ0kSfuF4nitwdAg.jm-jiHa4z5gQAkei5V0O7tr45BO_FKNlywYE4mF11BMg.JPEG/IMG%EF%BC%BF7308.jpg?type=w80_blur|||https://postfiles.pstatic.net/MjAyNTExMDFfMjA3/MDAxNzYyMDAwMTIyMTc5.rexmI0pzmV5MGMEDD8VIkSdbJ0CEW0RCQuagv7GIgC0g.ZVkAUT23z3-O1nFfr14Ps3EQYfOH6cmkWA9qNKEPDScg.JPEG/IMG%EF%BC%BF7364.jpg?type=w80_blur|||https://postfiles.pstatic.net/MjAyNTExMDFfMjY4/MDAxNzYyMDAwMTIzNjcw.5FChZgtQESRYq5VK_7HIhMk53fBbotEUoj1F-o8J5gIg.tQ3PKCRN3KjUAamBpxUvQhJEC9pqeXSDTkf7WOPxzSYg.JPEG/IMG%EF%BC%BF7492.jpg?type=w80_blur|||https://postfiles.pstatic.net/MjAyNTExMDFfMjQw/MDAxNzYyMDAwMTIzMTMy.IvML8_TVR2yRhv4-KOJi70JZusbORuSlZmCgChnxTRQg.NWufNO81ve_uEf77tYwtyb_hfm97F00ZM1qpeMySUz0g.JPEG/IMG%EF%BC%BF7731.jpg?type=w80_blur|||https://postfiles.pstatic.net/MjAyNTExMDFfMTMy/MDAxNzYyMDAwMTIyNTkw.0nrEnMdlVAyRkVYNWs88PeqGDWitTM028rWCPPzitw8g.vniMxJY1gdOPaprfc-_0l-JC7-2n6o-AIbqC8CXrDTgg.JPEG/IMG%EF%BC%BF7493.jpg?type=w80_blur|||https://postfiles.pstatic.net/MjAyNTExMDFfODkg/MDAxNzYyMDAxOTk0MjUz.jbBuoVh0cG75XURUgtCA4dqHTpcALmC8r2WtCziN9L4g.up-lRivXqzCVlziVZ8ZygL4E5MxEDQ7OrD5UxEOrW5kg.PNG/IMG%EF%BC%BF7699.png?type=w80_blur|||https://postfiles.pstatic.net/MjAyNTExMDFfOTEg/MDAxNzYyMDAxOTk0MTgz.1HsszMdm_hMGoOXqMmlrIxBQ4--N9pRqQQPU5ZCGRvgg.7bAaEggOMrg3DfAdxw14N7MMnDQ2a68zOQ2yH9I5sVMg.PNG/IMG%EF%BC%BF7701.png?type=w80_blur|||https://postfiles.pstatic.net/MjAyNTExMDFfMTgy/MDAxNzYyMDAxOTkzODA4.6ym4rmC0oX-0qc5sY5f8PQH5VTjJ6sAL_wE-vLnkfMQg.gdwwcCVYOYJSCkyOY6JO8hsWckl32WiKnge-aOSPWYUg.PNG/IMG%EF%BC%BF7702.png?type=w80_blur|||https://postfiles.pstatic.net/MjAyNTExMDFfMTc2/MDAxNzYyMDAyOTE0OTQz.xsOrT4qrZxSFiVHeuKf_D3vBaLd9_Z-gCbtHdo0smk0g._vWrCsuAxX58QtFv34rs9iIDiktN_tUhaLhYOIGwaM0g.JPEG/KakaoTalk_20251101_220718126.jpg?type=w80_blur|||https://postfiles.pstatic.net/MjAyNTExMDFfMTAx/MDAxNzYyMDAwMTIzNTE0.8lUeH8qpV_EaME48ETSPBkwFAWBx2uT360-pi8eyD2Ig.bpgE3aZFfdcIrK0GOWGiIpym_428sb6X_R0YT1xrh3sg.JPEG/IMG%EF%BC%BF7720.jpg?type=w80_blur|||https://postfiles.pstatic.net/MjAyNTExMDFfMjEx/MDAxNzYyMDAwMTIzNjY3.oT_AjEkqz_sh2E1AU8UdQvWI42VGaYaB1vKW4r3DY5og.D230dIvWUAKOSLyHbiCR3wPJSnZAraQLEtCQYcT9vS4g.JPEG/IMG%EF%BC%BF7725.jpg?type=w80_blur|||https://postfiles.pstatic.net/MjAyNTExMDFfMTY0/MDAxNzYyMDAwMTIzNTEx.EWFiTqW-4BFg9LV1fzS06H4H3OaiNTxyDGB0M2Nbq30g.SyLNtS3Vm0D86dH8yDODWs_nOFRukfo9bR99ekm6Qpgg.JPEG/IMG%EF%BC%BF7733.jpg?type=w80_blur|||https://postfiles.pstatic.net/MjAyNTExMDFfMTM5/MDAxNzYyMDAwMTI1MzE4.eh9T4RyeKjueHrKKkjo-CHQ3vmDpLLsGqAusLgybgIMg.KLPyGqBaMVdyW4gQIKdPkJLJ9SEEmgFDht278cRvaxUg.PNG/IMG%EF%BC%BF7734.png?type=w80_blur</t>
  </si>
  <si>
    <t>[11월 한정] 독일피엠 액션팩 할인 총정리│.. : 네이버블로그</t>
  </si>
  <si>
    <t xml:space="preserve">피트라인 피엠주스 싸게 사는 방법 파워칵테일의 성분과 효능  파워칵테일의 주요 성분과 효능 비타민... 특히 파이프라인에 관심 많은 육아맘, 워킹맘 분들, 서로이웃 추가와 소통 언제든 환영합니다... </t>
  </si>
  <si>
    <t>blog.naver.com/moduslife</t>
  </si>
  <si>
    <t>https://blog.naver.com/moduslife/224060986088</t>
  </si>
  <si>
    <t>moduslife</t>
  </si>
  <si>
    <t>안녕하세요.
피엠인터내셔널 조이그룹
신뢰와 정직을 바탕으로
꼼꼼히 안내드리는 낭만피엠입니다 🌸
💡 매년 단 두 번,
오토십보다 저렴하게 구매할 수 있는 기회!
올해 마지막 독일피엠
액션팩 프로모션이
11월 한 달간 진행됩니다.
그것도 역대급 혜택으로요!
피엠을 꾸준히 드시던 분들이라면
이번 할인 구성 놓치면
후회하실 거예요 🍊
📦 빠른 요약
✔ 11월 한정 판매 (5월·11월 연 2회만 진행)
✔ 오토십보다 저렴한 피엠 액션팩 구성
✔ 1+1 묶음 할인, 단품 구매도 가능
✔ 구매 시 무료 제품 Zoom 1:1 맞춤 강의
✔ 1인 2세트 신청시 파워칵테일2개+리스토레이트 2box 추가 무료증정
✔ 조기마감 예상
독일피엠 액션팩 뭐길래 다들 기다릴까?
솔직히 피엠 제품을 꾸준히 먹다 보면
“가격 부담만 조금 줄면 매달 계속할 텐데…”
이런 생각 한 번쯤 하셨을 거예요.
그 고민을 덜어주는 게 바로 액션팩 시즌!
1년에 딱 두 번(5월과 11월) 만 열리는
피엠 공식 할인 프로모션이에요.
🍊 액션팩의 핵심은 ‘실속’
이번 구성은
파워칵테일 5박스 + 리스토레이트 5박스,
총 10박스 세트로 준비돼 있어요.
더 대박인것은?
피엠인터내셔널코리아 7주년 기념
2025년 11월
액션팩 프로모션의 역대급 혜택이 나왔습니다!
1인 액션팩 2세트 구매시
파워칵테일 2박스 + 리스토레이트 2박스가
무료증정이 됩니다.
아이디 하나당 구매 수량이 한정되어 있어
빠른 마감 예상됩니다.
두 제품 다 기본 정기구독(오토십)보다
훨씬 저렴한 단가로 만나볼 수 있고,
심지어 무료배송 입니다!
매년 이 시기에는
선착순 경쟁이 정말 치열하답니다.
구매 시 무료 제품 Zoom 1:1 맞춤 강의도
해드리고 있으니 꼭 신청하세요!
알고 드시면 백배나 좋은 제품~!
액션팬, 왜 이렇게 인기가 많을까?
1️⃣ 오토십보다 단가가 낮아요.
→ 한 달 기준으로 계산해보면
오토십보다 약 2~3만 원 이상 절약됩니다.
2️⃣ 묶음 구매로 가성비 극대화!
→ 가족 단위로 드시는 분들이
이 시즌에 한꺼번에 주문해 두세요.
3️⃣ 연 2회 한정, 놓치면 6개월 뒤!
→ 5월과 11월만 진행되기 때문에
지금 구매하지 않으면 반년을 기다려야 합니다.
이런 분께 추천드려요
오토십 시작 전, 가볍게 먼저 체험해보고 싶은 분
가족 모두가 함께 마시는 건강 루틴형 구매자
“이번 달엔 꼭 피엠 루틴 정착해보자!” 하는 분
오토십 vs 액션팩, 뭐가 더 유리할까?
사실 피엠 제품을 꾸준히 드신다면
오토십(정기구독) 을 신청하시는 게 우선이에요.
매달 자동으로 제품을 받아볼 수 있고,
포인트 적립과 멤버십 혜택까지
함께 받을 수 있거든요.
그리고 액션팩은
오토십을 하고 있는 회원에 한해서만
구매가 가능한 한정 프로모션이에요.
즉, 이미 꾸준히 루틴을 실천 중인 분들에게
추가 혜택을 드리는 시즌 이벤트죠.
오토십을 안하는데 액션팩 구매 가능해요?
💬네! 아직 오토십을
시작하지 않으셨더라도 괜찮아요.
오토십 회원인 제가
구매 절차를 도와드릴 수 있으니
주저하지 마시고
바로 댓글이나 톡톡 주세요.
이번 11월 액션팩은
5세트+5세트 구성에
무려 약 45% 할인된 금액이에요.
1년에 딱 두 번뿐인 혜택이라
조기 품절 시 바로 마감됩니다.
피엠주스 액션팩은 어떻게 구성되어 있나요?
액션팩은
아침의 활력을 채우는 파워칵테일과
저녁의 피로를 풀어주는 리스토레이트
세트로 구성되어 있어요.
낮 동안 필요한 걸 더해주고,
밤에는 불필요한 걸 빼주는
‘채우고 비우는 하루 루틴 시스템’이 완성됩니다.
피트라인 피엠주스 싸게 사는 방법
파워칵테일의 성분과 효능
🍊 파워칵테일의 주요 성분과 효능
비타민 B군 8종
→ 에너지 대사 촉진에 도움
셀레늄, 비타민C, 비타민E
→ 활성산소 억제 및 항산화 작용
유산균 2종 + 식이섬유
→ 장 건강 및 면역력 강화
리스토레이트의 성분과 효능
🌙 리스토레이트의 주요 성분과 효능
칼슘·마그네슘·철분
→ 뼈·신경·근육 기능 유지
아연
→ 정상적인 면역 기능 유지
구리·셀레늄·망간
→ 세포 보호
비타민D
→ 칼슘 흡수 및 뼈 건강
2025년 11월은 정말 특별한 기회입니다.
파워칵테일 + 리스토레이트
각 1세트부터 구매 가능하며,
1인 2세트 구매 시
4box 추가 무료 증정
+ 전용보틀 증정
+ 무료 배송
💰 약 60% 할인혜택 수준!
1인 세트 한정 구매!
(오토십 보유자만 구매 가능)
회원이 아니시더라도
제가 구매 도와드릴 수 있어요.
주저하지 말고 톡으로 문의 주세요!
👉 조기 품절 시 바로 마감됩니다.
▼다른 피엠 제품이 궁금하시거나
직접 회원으로 가입하고 싶으시다면
아래 링크를 참고해주세요!
[공지] 독일피엠주스 헷갈리지 않는 회원가입 방법
안녕하세요? 피엠인터내셔널 조이그룹에서 신뢰와 정직을 바탕으로 꼼꼼히 안내드리는 낭만피엠입니다 🌸...
blog.naver.com
💬 제품 주문, 액션팩 구매, 건강 상담 등
언제든 톡으로 문의 주시면 빠르게 도와드릴게요.
이 정보가 유용하셨다면 💛
이웃 추가 후 새 소식도 받아보세요!
궁금할 땐 네이버 톡톡하세요!
회사·제품·보상 등 PM의 비전이 궁금하시다면
언제든 편하게 연락 주세요.
특히 파이프라인에 관심 많은 육아맘, 워킹맘 분들,
서로이웃 추가와 소통 언제든 환영합니다 🤗
@낭만피엠 💐</t>
  </si>
  <si>
    <t>https://storep-phinf.pstatic.net/clip_001/original_7.png?type=p100_100|||https://postfiles.pstatic.net/MjAyNTExMDFfMjU1/MDAxNzYxOTYzNzcwNDg2.3il7RgPDAJ3s7qWZLYzzoNMqIz-0I5FXLrBFSBCsrosg.9AWrW6RPgSx6tqN3_S4yP2GICCDMQbC7bLJBE0Wgv68g.JPEG/KakaoTalk_20251101_103758342.jpg?type=w80_blur|||https://storep-phinf.pstatic.net/cafe_005/original_2.png?type=p100_100|||https://postfiles.pstatic.net/MjAyNTExMDFfMTc0/MDAxNzYxOTU4OTk2MjYy.tXVhNwuHjTITW3FpkwgLaUPmqQLjZs9nevqVMC0LbSwg.mcNHJf4IQAspfV7YSoPsz5DftUZZcgZuKdWqdG8dIKcg.PNG/SE-992744a3-c0a4-401c-a5b0-dd5a736a6d99.png?type=w80_blur|||https://postfiles.pstatic.net/MjAyNTExMDFfMTcw/MDAxNzYxOTY2MDY1MDIy.Advjte43qleWjFtRfJLjIDv4bd6AstfGXBSDanl3c1sg.NxY8qL9lV5o_4HAf6rmNSnrxTkJatVVizwFbLIRe9fAg.JPEG/SE-73ff6575-2f7a-48e5-b85d-680b4599be9b.jpg?type=w80_blur|||https://postfiles.pstatic.net/MjAyNTExMDFfMTY3/MDAxNzYxOTYyMDEzNDA4.5F9gmhl61O0M69y3cT5mxZZwTnZxrnS_GO5PCoZN2F4g.I9LkH18R7-MZeBv6oLmNO9VPc-WugnHHEod9yWS7lIIg.PNG/image.png?type=w80_blur|||https://postfiles.pstatic.net/MjAyNTExMDFfMTcw/MDAxNzYxOTY0MjI0NTgz.JFMMeZQUsbq_I871d-szrc2q0fM_z6mIHb0qtQbGDGwg.1I07227VSPAcaW08nYiaN_FfmHPwctcEJQqLIOeTeCEg.PNG/2025-11-01_11_30_11.png?type=w80_blur|||https://dthumb-phinf.pstatic.net/?src=%22https%3A%2F%2Fblogthumb.pstatic.net%2FMjAyNTA5MTdfMTU1%2FMDAxNzU4MDcwMDczNTYz.FaItGXy99QAp2ZU8Uv89MXGiaXbx7KshYLCQaUIsw6og.nGnCQi_6udVgTmK2PIyaBA0hFbOfNQ8EYncEKVLp17Mg.JPEG%2FKakaoTalk_20250917_064744987.jpg%3Ftype%3Dw2%22&amp;type=ff500_300|||https://postfiles.pstatic.net/MjAyNTExMDFfMTE2/MDAxNzYxOTY1ODc2MzUy.FFs_nUcoCkWBgQ8k6Rb_1TrREGsZPj9B9uooJWfFJx0g.9Vdfpg-rTezHGTojBX0mYs-CFXAoVdJRc9dWOboYQSYg.JPEG/PM_%EC%95%A1%EC%85%98%ED%8C%A9-001.jpg?type=w80_blur</t>
  </si>
  <si>
    <t>https://mblogvideo-phinf.pstatic.net/MjAyNTExMDFfNzEg/MDAxNzYxOTU4MDc5NzYw.VurWFvxTOYol9z-uiQTtHuBLW7gICk62jFNfEV9Kq1Ag.4ePn6YSNwJB_OcmKK8Xqed1SFcOB8E7ukPvbPAjf-lAg.GIF/PM_%EC%95%A1%EC%85%98%ED%8C%A9.gif?type=mp4w800|||https://mblogvideo-phinf.pstatic.net/MjAyNTExMDFfODMg/MDAxNzYxOTY0ODc2Njg2.l0_SyboZxHNcsOtazrTGQYpqFryWFTrvX2roQ79j46og.nFdQd7QKxFE4cy5IG_8gHqjKoJ_3qcli9dkgtKWlqAwg.GIF/PM_%EC%95%A1%EC%85%98%ED%8C%A9_(1).gif?type=mp4w800</t>
  </si>
  <si>
    <t>2026년 F1 일본 스즈카 그랑프리 티켓 한.. : 네이버블로그</t>
  </si>
  <si>
    <t xml:space="preserve">특히 A1 구역은 피트라인 마지막 합류 지점으로 핏 아웃도 구경할 수 있답니다. v 3위 : 그랜드스탠드 V1 / V2 구역 메인 스트레이트부터 + 피트안까지 모두 보이는 뷰 스타팅 그리드와 피니시라인도 볼 수... </t>
  </si>
  <si>
    <t>blog.naver.com/eunjeong-choi</t>
  </si>
  <si>
    <t>https://blog.naver.com/eunjeong-choi/224060908864</t>
  </si>
  <si>
    <t>eunjeong-choi</t>
  </si>
  <si>
    <t>2026년 F1 일본 스즈카 그랑프리 티켓
공식예매처 및 할인방법, 직관 좌석 추천
All rights reserved, 제이의 기록
드디어 뜬 2026년 F1 일본 스즈카 그랑프리
한국 공식예매처 티켓 !!!
많은 분들이 한국 공식 예매처 너무 궁금해하셔서
오늘은 티켓 예약방법과 할인 받는 방법
그리고 직관 좌석 추천까지 싹 정리해뒀어요.
내년 F1 일본그랑프리 직관 준비중이시라면,
F1 스즈카 공식 홈페이지에서 티켓 예약 못하셨다면,
오늘 포스팅 필독해주세요.
지금 현재기준으로 가장 저렴하게 살 수 있는 방법
꿀팁과 할인받는 방법 싹 정리해드릴게요.
2026년 F1 일본 스즈카 그랑프리
2026 F1 Japanese Grand Prix
v 장소: 스즈카 서킷(Suzuka Circuit, 일본 미에현)
v 일정: 3월 27일(금) ~ 29일(일)
금요일: 연습 세션
토요일: 퀄리파잉
일요일: 메인 레이스
v 티켓 : 3일권만 구매 가능 (일일권 없음)
티켓 예매는 여러가지 방법이 있지만
가장 저렴하게 예약할 수 있는
'모빌리티 스테이션공식 티켓팅'은 10월 중순에 끝났어요.
F1 티켓은 절대 환불 불가 상품이라 취켓팅도 없고
모빌리티 공식 티켓은 모두 매진된 상태라
이젠 2안으로 한국공식티켓 판매처 또는 F1 예매처에서
티켓을 구할 수 있는데요.
물론, 모빌리티보다 가격이 비싸지만
리셀 판매처보다 저렴하고 현 시점에서 가장 저렴하게
구할 수 있는 곳이에요.
👇🏻 2026 F1 일본 스즈카 티켓 한국 공식예매처
5% 자동할인 링크
[공식판매처] 포뮬러 F1 일본 스즈카 그랑프리 2026 (3일권) - 마이리얼트립
3ha.in
✅ 한국 공식예매처 마이리얼트립
한국에서 쉽게 접할 수 있는 공식 예매처로
한국 고객센터 지원, 한국 카드사 할인 + 추가 5% 할인
혜택이 있어요.
📌 장점
v 한국어 지원이 가능
→ 글로벌 대행사 대비 소통이 훨씬 수월
v 결제 시 한국 카드사 할인혜택 가능
→ 추가 5% 할인 코드 사용 가능
📌 단점
좌석을 ‘구역’ 단위로 선택 가능하지만,
세부 좌석번호는 랜덤 배정됨
티켓 수령은 통상 경기 약 10일 전에 이메일 또는
모바일 전송 방식으로 진행돼요.
스즈카 그랑프리 좌석 추천
이번 2026년 일본 스즈카 그랑프리 직관이 처음이라면
제가 추천하는 좌석으로 선택해보세요.
시야도 좋고, 인기도 좋은 좌석들이라
첫 직관러에게 딱 좋은곳들이랍니다.
v 1위 : 그랜드 스탠드 B / C / D 구역
첫번째 곡선 구간과 연속 S커브 구간이 보이는 좌석이라
스릴 있는 장면을 볼 수 있는 곳.
특히 D 구역은 '혼다응원석'으로 특유 응원분위기까지!
3일권 좌석도 꽤 합리적인편이라 강추해요.
v 2위 : 그랜드 스탠드 A1 / A2 구역
스타트 ~ 피트라인 중심부에 위치,
첫번째 직선구간으로 메인 스트릿인 V 구역 가격이
부담스러운 분들에게 가성비로 좋은곳!
특히 A1 구역은 피트라인 마지막 합류 지점으로
핏 아웃도 구경할 수 있답니다.
v 3위 : 그랜드스탠드 V1 / V2 구역
메인 스트레이트부터 + 피트안까지 모두 보이는 뷰
스타팅 그리드와 피니시라인도 볼 수 있는 메인 구역!
가격이 비싸지만,
한 번 볼 때 제대로 보고싶으신 분들은 V 구역 추천해요.
▾▾▾
&gt; F1 일본 스즈카 그랑프리 한국공식예매처 바로가기&lt;
개인적으로 비추천하는 좌석은
General Admission(자유석) - West Area인데요.
가격이 제일 저렴하지만, 좌석이 아니라 흙밭에서
걸어다니면서 보는 티켓이에요.
여러 포인트 돌아다니기 가능하지만 좌석 보장 없음
첫 직관러에게는 비추천!
결론적으로, 첫 직관러에게는
V1 구역 / V2 구역 / A1 구역 / A2 구역 / B,C,D 구역
이렇게 추천해요.
**참고로 저는 V1 상단석 티켓을 구해서 직관가요!
각 구역별 가격은 아래 표를 참고해주세요.
(금토일 3일권)
구역
기격
그랜드스탠드 V1-1
1,542,520원
(1,402달러)
그랜드스탠드 V2-1
1,985,440원
(1,804달러)
그랜드스탠드 A1
993,661원
(903달러)
그랜드스탠드 B1
993 661원
(903달러)
그랜드 스탠드 C1 - 상단
738,153원
(671달러)
만약, A1 2연석 상단 통로석 필요하신 분!
제가 양도해드릴수있어요.
댓글 남겨주세요.
(가격은 마리트보다 저렴하게 드림)
❈ F1 티켓은 고정가격이아니라 변동가격이에요.
일정이 다가올수록 가격이 올라가고, 구하기 힘들어져요.
오늘이 가장 저렴한 날! (마치 명품같네요)
스즈가 서킷은 선수들도 좋아할만큼 코너링도 재밌고
속도도 높은 편이라 직관으로 완전 강추하는 곳인데요.
현장감과 스피드의 압도감이 넘사벽인 스즈카 써킷!
인기가 많은 만큼 그랑프리 일정이 다가올수록
티켓구하기가 굉장히 힘들어져요.
그리고, 이미 올해 초부터 항공/주변숙소 가격도
엄청 올랐답니다.
직관 결심하셨다면,
빠르게 티켓 예매하시는 걸 추천해요.
👇🏻 2026 F1 일본 스즈카 티켓 한국 공식예매처
5% 자동할인 링크
[공식판매처] 포뮬러 F1 일본 스즈카 그랑프리 2026 (3일권) - 마이리얼트립
3ha.in
F1 팬이라면 놓칠 수 없는 스즈카 직관,
2026년에 직관 가시는 걸 진지하게 고려해보세요!
만약, A1 2연석 상단 통로석 필요하신 분!
제가 양도해드릴게요. 댓글 남겨주세요.
(가격은 마리트보다 저렴하게 드림)
또, F1 일본 스즈카 직관 티켓에 대해서
궁금하신 분들은 댓글 남겨주시면
제가 아는 선에서 최대한 답변해드릴게요.
같이보면 좋은 포스팅
▾ 2026 F1 스즈카 그랑프리 항공권/숙소 예약 방법
2026 F1 스즈카 그랑프리 직관 일본 나고야 항공권, 숙소 예약 준비
요즘 F1 그랑프리에 대한 관심이 높아지면서 많은 분들이 직관 가는 방법과 티켓 예약 방법을 많이 궁금해...
blog.naver.com
▾ 2026 F1 스즈카 그랑프리 직관정보
2026 스즈카 F1 그랑프리 티켓 가격 및 예약 방법 직관 정보 총정리
요즘 F1에 대한 인기가 엄청 높아졌는데요. 저도 영화보고 입덕한 덕후로써,,, 내년에 2026 스즈카 F1 그...
blog.naver.com
그럼, 안녕-!</t>
  </si>
  <si>
    <t>https://blogfiles.pstatic.net/MjAyNTA0MjNfODQg/MDAxNzQ1NDA4NTk3ODc5.nurqpOYvXWfLMv565sqEfQcBdFjweozsKRfD7NWnG-gg.T_iU4aZi28eQkarLowq3Kt8uIcYTKhnAbYbajAvEGTQg.PNG/%EC%8A%A4%ED%81%AC%EB%A6%B0%EC%83%B7_2025-04-23_20.41.25.png?type=w1|||https://postfiles.pstatic.net/MjAyNTExMDFfMTU2/MDAxNzYxOTI3Mzg4NDc2.YZUGjV07-yuJEYkZoR6YRDbsNzEIo74techKxEFFNxgg.-_AXo7-oY5l8GDvKmN6T5SPJ4l1-V4j7643-FTbswpkg.JPEG/IMG%EF%BC%BF0101.JPG?type=w80_blur|||https://postfiles.pstatic.net/MjAyNTExMDFfODYg/MDAxNzYxOTI3Mzg4NDgy.ALibfvc_clpESiDfQg-KaaAHdKQ0KXqf1HIx0nZf-zUg.eY1mYa5V7Q4-vjlrW4fGiYHxpSmIrmeItAsj08_CUjMg.JPEG/output%EF%BC%BF1341545571.jpg?type=w80_blur|||https://storep-phinf.pstatic.net/ogq_6236833ebac01/original_9.png?type=p100_100|||https://postfiles.pstatic.net/MjAyNTExMDFfMjQ5/MDAxNzYxOTU5Mzc0MTc5.15p3eS5E3Ay4Wfdxpqs-ifDa5H2MF0482mtlFr2mnE4g.sOjPCOdWQRJgn3v20bHyZJDyZntKcmSDOOrrb-GeYa8g.PNG/IMG%EF%BC%BF9999.PNG?type=w80_blur|||https://postfiles.pstatic.net/MjAyNTExMDFfMjM2/MDAxNzYxOTI4MjU1MDIx.0ULAwXhXbrOPLS68jBZaqA4nakO5RFm0ziWI8Jg4Sgsg.rOl4WTids6N94LZPbJ3pMumfinJE5VEKLCbjFqmtQ74g.PNG/%EC%8A%A4%EC%A6%88%EC%B9%B4%ED%8B%B0%EC%BC%93%EC%98%88%EB%A7%A4%EC%B2%98.png?type=w80_blur|||https://dthumb-phinf.pstatic.net/?src=%22https%3A%2F%2Fd6bztw1vgnv55.cloudfront.net%2F1504819%2Foffer_photos%2F172118%2F1745738_original_1760404886.jpg%3Fwidth%3D480%26height%3D360%26operation%3Dcrop%26quality%3D99%22&amp;type=ff500_300|||https://postfiles.pstatic.net/MjAyNTExMDFfNzkg/MDAxNzYxOTI3ODcwMjEy.5V1_M1SLfm5qd-p0VjHnWY-mq1XVI5eJ3EulWONKqawg.46HbgCR1AeY-sM58XDAq2tG3gwHog54ZcZIbAMBslwEg.PNG/%EC%8A%A4%EC%A6%88%EC%B9%B4%EC%84%9C%ED%82%B7b,c,d%EC%A2%8C%EC%84%9D.png?type=w80_blur|||https://postfiles.pstatic.net/MjAyNTExMDFfMTc5/MDAxNzYxOTI3ODgxNDg0.HAPRTJY3A-cytnozjxycN_wD_guCJtugy0qQgnPbR40g.Uridd1T1OVRV4fcJwnqhyd-BE-g4RztfqyYY4RHtLuQg.PNG/%EC%8A%A4%EC%A6%88%EC%B9%B4%EC%84%9C%ED%82%B7a%EC%A2%8C%EC%84%9D.png?type=w80_blur|||https://postfiles.pstatic.net/MjAyNTExMDFfMTAw/MDAxNzYxOTI3ODg3NjUz.OwHULbwaOtm_BggTtN0Kk6vFhfqtZB_T7fLgJFLIRg8g.eQqaNyGYetz3eIeXJRFV4EFbzYtHc8za-JPHHSCcntsg.PNG/%EC%8A%A4%EC%A6%88%EC%B9%B4%EC%84%9C%ED%82%B7v%EC%A2%8C%EC%84%9D.png?type=w80_blur|||https://postfiles.pstatic.net/MjAyNTExMDFfMjUg/MDAxNzYxOTI4MTkwNzcx.dwm2syGHkQiLSo_GE6y1qktTOzbAzZoi2qWTPIUUyvMg.QAceFCkz0OWu9eZBdMgTc_jKjSP-xPjZpJ8jinRJvZIg.PNG/West%EA%B5%AC%EC%97%AD_%EC%9E%90%EC%9C%A0%EC%84%9D.png?type=w80_blur|||https://postfiles.pstatic.net/MjAyNTExMDFfOTkg/MDAxNzYxOTU5NDA4NzE0.Y4_Tcqj2RiZCsojK-WPjC3BeL8dtVaRX0IysRGAhj58g.EWOoHsStN8Jn8bayhJvnywEpTdFtrXSMaZS2XDXnkrAg.JPEG/output%EF%BC%BF2870895882.jpg?type=w80_blur|||https://postfiles.pstatic.net/MjAyNTExMDFfNzgg/MDAxNzYxOTI3Mzg4NjEy.p-OoQCD2qu_d62zi9H8kyRG3_cF6FnDq1AOkYOx-0bUg.CKN3sRs3GyrOEzEpKcx18ZROSxu8r0ZZMdagDaTRJoQg.JPEG/output%EF%BC%BF2262503012.jpg?type=w80_blur|||https://postfiles.pstatic.net/MjAyNTExMDFfODkg/MDAxNzYxOTI3Mzg4NzA5.ploWoy3DehBOJbZin2BMwv_Y5Th3kD2YUBa4XHM2Xgkg.QlNlzZs4XxxVjp-LAThiZjgkisPUppWr-g5V8XYdWoUg.JPEG/output%EF%BC%BF3497422145.jpg?type=w80_blur|||https://dthumb-phinf.pstatic.net/?src=%22https%3A%2F%2Fd6bztw1vgnv55.cloudfront.net%2F1504819%2Foffer_photos%2F172118%2F1745738_original_1760404886.jpg%3Fwidth%3D480%26height%3D360%26operation%3Dcrop%26quality%3D99%22&amp;type=ff500_300|||https://dthumb-phinf.pstatic.net/?src=%22https%3A%2F%2Fblogthumb.pstatic.net%2FMjAyNTA4MDVfMjE5%2FMDAxNzU0Mzg3MTA3ODg1.lH2Gjp7SWWI2Ugqz33FBcCi5tEZsAo4qoSPirb7wV0Yg.tGpOT4shdzOJg9fcbsSIfIpFopR_qMJE-sCxgABN72Mg.PNG%2F%25BD%25BA%25C1%25EE%25C4%25AB%25BC%25AD%25C5%25B6%25BF%25B9%25BE%25E0.png%3Ftype%3Dw2%22&amp;type=ff500_300|||https://dthumb-phinf.pstatic.net/?src=%22https%3A%2F%2Fblogthumb.pstatic.net%2FMjAyNTA5MzBfMjMx%2FMDAxNzU5MjMyODk4MzUz.v5PNapU3PypSMmmpde0M4-qS5xKjMzF0lDPYIlKN8j8g.yBrLQqu9FHNxz_36UBYX4xhdoYA8BD1zJQYJCSgzZaUg.JPEG%2Foutput%25A3%25DF1341545571.jpg%3Ftype%3Dw2%22&amp;type=ff500_300|||https://storep-phinf.pstatic.net/ogq_6236833ebac01/original_3.png?type=p100_100</t>
  </si>
  <si>
    <t>천안맞춤정장 재단사가 상주하고 작업하는 히스포.. : 네이버블로그</t>
  </si>
  <si>
    <t xml:space="preserve">영국 원단 - 투박하게 떨어지는 피트라인과 발색 감이 매트하고 구김이 펴지는 회복 속도가 높아서 옷 관리가 편함 이태리 원단 - 가볍고 발색이 유광스러워서 고급스럽지만 구김에 약해서 옷 관리가 어려움 저희... </t>
  </si>
  <si>
    <t>blog.naver.com/hsyeon91</t>
  </si>
  <si>
    <t>https://blog.naver.com/hsyeon91/224060462777</t>
  </si>
  <si>
    <t>hsyeon91</t>
  </si>
  <si>
    <t>안녕하세요! 리뷰하는 요니입니다 😉
날씨가 갑자기 추워지다 잠시 주춤하고 있는 것 같죵?!
요즘 시기가 또 결혼 시즌이라 준비하시는 분들도
많으실 것 같아요,, 🤔
저 역시 결혼식 때 예랑이가 입을 예복과
양가 부모님 혼주복을 알아보러
천안맞춤정장 매장에 다녀왔답니다 ㅎㅎ
이곳은 천안에서 10년째 운영하고 있는
오래된 테일러 샵인데요
천안 유일 웨딩업체와 제휴를 하고 있지 않는 매장이라고 해요! 😲
합리적인 비용으로 품질 높은 정장을
맞출 수 있다고 해서
견적도 알아볼 겸 네이버로 예약 후 방문했어요 ㅎㅎ
전문적인 재단사의 경력과 깔끔한 상담
히스포크수트는 천안맞춤정장 테일러 샵으로
이미 많은 분들이 알고 있을 텐데요!
수많은 사업가, 법조인, 연예인 등 많은 분들이
오랜 시간 이용하고 있는 브랜드에요
프랜차이즈가 아닌 천안 본점으로
대표님께서 직접 모든 고객을 상담해주시고
고객분들과 소통하면서 멋진 옷을 만들어 주시는 이곳은 실제 예약자분들도 만족한다는 후기가
넘치는 곳이에요 👍🏻
실제 천안 테일러샵 기준 가장 많은 영수증 후기가
오래된 매장인 것을 증명해주고 있어요 ㅎㅎ
다른 정장 전문점과 상담하는 방향도
너무나 다르더라고요 😲
히스포크수트만의 멋진 실루엣의 옷 설명과
원단을 볼 때 가장 중요한 중량감 기준으로 상담을 해주시는데
다른 곳에서 상담받았던 내용과는 전혀 다른
너무나도 유익한 상담이었어요!
50m
© NAVER Corp.
히스포크수트
충청남도 천안시 서북구 불당16길 33 1층 히스포크수트
예약
천안 갤러리아 백화점 카페거리에 위치하고 있고요
천안아산역과 도보 5분 정도의 거리라서
타 지역에서 방문하기도 편한 곳이에요
매장 옆 주차장이 넓어서 자차를 이용하시는 분들에게도 편리해요! 👍🏻
히스포크수트는 제주도에도 매장이 있어서
제주 스냅을 생각하고 계신 분들이라면
한 번 더 눈여겨보셔도 될 것 같은데요 😚
제주 매장도 본사 직영으로 운영하고 있어서
제주 웨딩촬영 시 대여 정장을
제주도에서 픽업을 하실 수 있어요!
자세한 내용은 직접 여쭤보시면
자세히 안내해 주실 거예용 😉
요즘은 웨딩 시즌이라서 고객분들이 정말 많다고 하는데요
한 달에 만들 수 있는 수량이 정해져 있어서
시간을 여유롭게 방문해 주시는 것이 좋을 것 같아요!
많은 분들이 평균 2-3달 전 방문하셔서
맞춤을 진행한다고 하더라고요
이태리에서 경험한 재단사가 상주
한 번에 수많은 고객을 상대하는
웨딩 전문점과는 다르게
좋은 옷을 볼 수 있는 소수의 고객분들을 위한
브랜드 히스포크수트!
입구에 들어서면 장인이 직접
정장을 제작하는 모습을 볼 수 있어서
신뢰가 더욱 가더라고요 ㅎㅎ
사이즈 측정, 제도면 설계, 재단, 가봉 등
모든 과정을 매장에 상주한 테일러가
직접 체형을 확인하고 재단을 하고 계셨는데용
제작실이 매장에 바로 있다 보니
원했던 부분을 바로바로 즉시 반영할 수 있어서
완성도가 높을 수밖에 없을 것 같다는 생각이 들었어요!
보통 많은 맞춤정장 매장들은 작업 지시서를 통해
다른 곳을 보내는 형식이잖아요,, ㅠ
매장에 들어서면 수많은 가봉복들이
매장에 걸려있었고용
완성된 옷들이 주인을 기다리고 있는 옷들과
작업을 하고 있는 옷들로 꽉 차있었어요
천안맞춤정장 여기 정말 유명한 곳 맞는 듯 하쥬 😝
예복을 상담받다보면 저렴한 가격과
몇 개 더 주는 사은품, 웨딩박람회 혜택 등
이런 것에 중점을 두지 않고
만들어 주시는 테일러의 경력과 전문성,
실제 구매자가 많은지,
신뢰도가 높은 곳인지가 더 중요하잖아요!?
맞춤정장 비용들도 모두 다 다르겠지만
웨딩 업체와 관련된 업체의 경우
리베이트 금액으로 20%를 소개비로 지출해야 되는 곳이라면 견적도 엄청 비싸게 나온다는 사실,,
그렇다고 해서 옷 퀄리티가 꼭 높은 것도 아닌데,,
실패 사례도 정말 많이 있더라고요 ㅠ
제대로 준비하지 못하면 얼마나 속상하고 억울할지
증말 상상하기도 싫어져요 😭
그래서 우리는 담당해 주시는 테일러 분의 경력과
진짜 이용한 고객분들의 후기,
웨딩 비제휴 업체를 선별하여 알아본 곳이기도 해요!
대여복도 가능한 곳
맞춤이 부담스럽다면 양가 혼주분들은
정장 대여도 가능하고요
웨딩촬영 정장대여도 가능해요!
아주 좋은 꿀팁은 〰️ 🍯
맞춤 진행시 촬영 대여복은
드라이클리닝 비용 2만 원에 높은 퀄리티의 정장을
빌릴 수 있다는 것인데요 ㅎㅎ
대여복도 영국, 이태리 원단으로 제작돼서
퀄리티가 정말 좋더라고요!
개수 제한도 없고 원하는 디자인 사이즈를
미리 선점할 수 있었어요 ㅎㅎ
저는 맞춤정장을 주문하려고 방문했기 때문에
웨딩패키지를 확인하고 예랑이가 원하는 원단으로
선택을 했어요
최근에는 베스트를 입는 것이 더욱 단정해 보여서
베스트도 의뢰를 했어요
Next image
간략하게 영국 원단과 이태리 원단의 차이는!
영국 원단 - 투박하게 떨어지는 피트라인과
발색 감이 매트하고 구김이 펴지는 회복 속도가 높아서 옷 관리가 편함
이태리 원단 - 가볍고 발색이 유광스러워서 고급스럽지만 구김에 약해서 옷 관리가 어려움
저희 예랑이 취향은 영국 원단 쪽이어서
영국 원단으로 선택했어요 ㅎㅎ
맞춤정장 퀄리티를 결정하는 중요한 한 가지는
장인의 실력도 중요하지만 본인에게 잘 맞는 원단을
추천받을 수 있는지도 중요해요!
저희를 담당해 주셨던 테일러 분께서
샘플도 입혀 주시고 차이점에 대한 설명과
취향을 분석해서 예산에 맞게 추천을 잘 해주셔서
예랑이한테 잘 맞는 원단을 쉽게 선택할 수 있었답니다 😚
맞춤정장 웨딩 패키지로 주문하면
맞춤셔츠, 맞춤 수제화, 넥타이
모두 한 번에 해결할 수 있었어요 👍🏻
만약에 따로 백화점 기성복을 구매 한다고 하면
뭔가 따로 놀것 같은 느낌,, ㅠ
한 번에 구성된 패키지로 하면
나에게 잘 맞는 디자인과 스타일을
전문가에게 코칭 받을 수 있어서 더욱 좋았어요!
Next image
서비스
실제 사이즈를 측정하시고 핏까지 확인해요
만약 체형 변화가 있을 시 간략하게 a/s까지 받을 수 있어서 사후 관리까지 확실한 곳이 아닌가 싶더라고요!
셔츠까지 맞춤으로 제공하니 수트핏이 멋있을 수밖에 없는 것 같아요 ㅎㅎ
그리고 촬영 때 본식 옷을 입으면
구김이 많이 생기잖아요 ㅠ
예식전에 방문해서 옷을 맡기면
다시 한번 케어를 해주시는 것도 무상으로 해주시고
웨딩 양말도 증정을 해주셔요!
천안맞춤정장 방문하여 원하는 스타일로
피팅 해봤는데요 ㅎㅎ
핏도 잘 맞고 사이즈 측정까지 확실하게 해주셔서
결혼 예복을 여기서 제작하길 잘 한것 같아요!
결혼 시즌이라서 프로모션 중이니
네이버 예약 후 방문해서 상담 받아보시는 걸
추천드려용 🙌🏻
매장도 넓고 고급스럽고 엔틱 분위기〰️✨
상주하고 계신 테일러 분들이 자부심도 강하고
친절하셔서 부담 없이 상담받고
진행하게 되었네요 ㅎㅎ
천안맞춤정장 재단사가 상주하고 작업하는 히스포크수트👔
재생
0
좋아요
0
00:13
접기/펴기
천안맞춤정장 재단사가 상주하고 작업하는 히스포크수트👔
맞춤정장 혜택 ✔️
1. 자체적으로 진행하는 웨딩패키지로
합리적인 가격으로 진행 가능
2. 혼주복 맞춤 시 셔츠 넥타이 인당
무료 증정 15만원 상담
3. 웨딩촬영 대여복의 어마 어마한 혜택 할인
4. 넥타이, 웨딩 양말 증정
#서로이웃해요 #서이추 #서이추환영 #이웃해요 #이웃환영 #블로그이웃 #이웃추가</t>
  </si>
  <si>
    <t>#서로이웃해요, #서이추, #서이추환영, #이웃해요, #이웃환영, #블로그이웃, #이웃추가</t>
  </si>
  <si>
    <t>https://postfiles.pstatic.net/MjAyNTEwMzFfMjE2/MDAxNzYxOTEwOTUwNzcy.OAgQGIXDRqFIqemsoeXU5Jtw2jAFRwRKAgwSjLDjCH8g.taN_wxQ12tX2rmMF0j8hEy5wGkUviGtsEqrl-0JQ0sog.JPEG/IMG%EF%BC%BF8823.JPG?type=w966|||https://postfiles.pstatic.net/MjAyNTEwMzFfMTkw/MDAxNzYxOTEwOTUxOTg0.602uI1UFuOAzpfompG7p3CNyXPCt4JLzWXpr8kltkbog.fY3IxHtQ4TAogS9v2ZLVWoAU8tWmXixX-ygYuvE_XaIg.JPEG/output%EF%BC%BF18747893.jpg?type=w80_blur|||https://storep-phinf.pstatic.net/ogq_6001c41e777e4/original_2.gif?type=pa50_50|||https://postfiles.pstatic.net/MjAyNTEwMzFfMTcw/MDAxNzYxOTEwOTU0MjUx.1qiaO3W2wFe9q9Lrbi6wqFefkCsCfHev8r0Kde2B9fMg.YyqEz_vzEzk-TdBIeUV5Y5pTpIxAtfgpo_YjpL9bMXIg.JPEG/IMG%EF%BC%BF0559.JPG?type=w80_blur|||https://postfiles.pstatic.net/MjAyNTEwMzFfMTE3/MDAxNzYxOTEwOTU0MDMx.sgd6dyzG9WfDW5Gyb_S6BSi3HR2wi-pMxdX7bfj7Xc4g.IazQ9iyap4JLQMzuZsKXV-jKo0lUpsJAFWhURrIrqDkg.JPEG/IMG%EF%BC%BF0569.JPG?type=w80_blur|||https://postfiles.pstatic.net/MjAyNTEwMzFfNTAg/MDAxNzYxOTEwOTUyODg0.XmNzAMf5O4WJ8AzMDBBdAAPIzzTWlExqZX9qaGKCJ4og.OVBQO2mh5weDK0dDKDMHOW-IUXbA1cUHiGAobY9zAvMg.JPEG/IMG%EF%BC%BF0570.JPG?type=w80_blur|||https://postfiles.pstatic.net/MjAyNTEwMzFfMTI0/MDAxNzYxOTEwOTUyMzQw.USPYJ5HrEpMCxtb2mn5pSCDxCfkXoOUMsi9dh5hUwU8g.1fnF00iHAnwNos6AodbBLj31YhJj_R7-bc1DuGjXqVgg.JPEG/output%EF%BC%BF2324626655.jpg?type=w80_blur|||https://postfiles.pstatic.net/MjAyNTEwMzFfMjEz/MDAxNzYxOTEwOTUzNzAx.dV6WY7kls_4SUwGZ-8BbgEGBMreUDHJfs2a9lszTihIg.qFsGGYn5K4kjiHt7OUoJGoagMGmLi3zNUKbmBmK-Iogg.JPEG/IMG%EF%BC%BF0572.JPG?type=w80_blur|||https://postfiles.pstatic.net/MjAyNTEwMzFfMTQw/MDAxNzYxOTEwOTUzMjA1.n1s6fId2dUkHhz2x1oncVCe7HxnFlRJTnVxtg10zrr0g.ltaPCjarUX9l_YETkYSPGqHHHtRmTHoVq0Swaf28FyMg.JPEG/output%EF%BC%BF4003423211.jpg?type=w80_blur|||https://map.pstatic.net/nrb/styles/basic/1761871134/17/111814/51108.png?mt=bg.ol.sw.ar.lko|||https://map.pstatic.net/nrb/styles/basic/1761871134/17/111814/51107.png?mt=bg.ol.sw.ar.lko|||https://map.pstatic.net/nrb/styles/basic/1761871134/17/111814/51109.png?mt=bg.ol.sw.ar.lko|||https://map.pstatic.net/nrb/styles/basic/1761871134/17/111814/51106.png?mt=bg.ol.sw.ar.lko|||https://map.pstatic.net/nrb/styles/basic/1761871134/17/111815/51106.png?mt=bg.ol.sw.ar.lko|||https://map.pstatic.net/nrb/styles/basic/1761871134/17/111813/51109.png?mt=bg.ol.sw.ar.lko|||https://map.pstatic.net/nrb/styles/basic/1761871134/17/111815/51107.png?mt=bg.ol.sw.ar.lko|||https://map.pstatic.net/nrb/styles/basic/1761871134/17/111813/51108.png?mt=bg.ol.sw.ar.lko|||https://map.pstatic.net/nrb/styles/basic/1761871134/17/111815/51108.png?mt=bg.ol.sw.ar.lko|||https://map.pstatic.net/nrb/styles/basic/1761871134/17/111813/51107.png?mt=bg.ol.sw.ar.lko|||https://map.pstatic.net/nrb/styles/basic/1761871134/17/111815/51109.png?mt=bg.ol.sw.ar.lko|||https://map.pstatic.net/nrb/styles/basic/1761871134/17/111813/51106.png?mt=bg.ol.sw.ar.lko|||https://map.pstatic.net/nrb/styles/basic/1761871134/17/111816/51106.png?mt=bg.ol.sw.ar.lko|||https://map.pstatic.net/nrb/styles/basic/1761871134/17/111812/51109.png?mt=bg.ol.sw.ar.lko|||https://map.pstatic.net/nrb/styles/basic/1761871134/17/111816/51107.png?mt=bg.ol.sw.ar.lko|||https://map.pstatic.net/nrb/styles/basic/1761871134/17/111812/51108.png?mt=bg.ol.sw.ar.lko|||https://map.pstatic.net/nrb/styles/basic/1761871134/17/111816/51108.png?mt=bg.ol.sw.ar.lko|||https://map.pstatic.net/nrb/styles/basic/1761871134/17/111812/51107.png?mt=bg.ol.sw.ar.lko|||https://map.pstatic.net/nrb/styles/basic/1761871134/17/111816/51109.png?mt=bg.ol.sw.ar.lko|||https://map.pstatic.net/nrb/styles/basic/1761871134/17/111812/51106.png?mt=bg.ol.sw.ar.lko|||https://editor-static.pstatic.net/c/resources/common/img/common-icon-places-marker-x2-20180920.png|||https://ssl.pstatic.net/static/maps/mantle/1x/new-scale-normal-b.png|||https://ssl.pstatic.net/static/maps/mantle/1x/new-scale-normal-l.png|||https://ssl.pstatic.net/static/maps/mantle/1x/new-scale-normal-r.png|||https://ssl.pstatic.net/static/maps/mantle/1x/zoom-in-small-normal.png|||https://ssl.pstatic.net/static/maps/mantle/1x/zoom-handle.png|||https://ssl.pstatic.net/static/maps/mantle/1x/zoom-out-small-normal.png|||https://ssl.pstatic.net/static/maps/mantle/1x/zoom-legend-left-on.png|||https://ssl.pstatic.net/static/maps/mantle/1x/zoom-legend-left-normal.png|||https://ssl.pstatic.net/static/maps/mantle/1x/zoom-legend-left-normal.png|||https://ssl.pstatic.net/static/maps/mantle/1x/zoom-legend-left-normal.png|||https://ssl.pstatic.net/static/maps/mantle/1x/zoom-legend-left-normal.png|||https://ssl.pstatic.net/static/maps/mantle/1x/zoom-legend-left-normal.png|||https://simg.pstatic.net/static.map/v2/map/staticmap.bin?caller=smarteditor&amp;markers=size%3Amid%7Ccolor%3A0x11cc73%7Ctype%3Ad%7CviewSizeRatio%3A0.7%7Cpos%3A127.107745%2036.800758&amp;w=589&amp;h=300&amp;scale=2&amp;dataversion=176.20|||https://postfiles.pstatic.net/MjAyNTEwMzFfMTc3/MDAxNzYxOTEwOTUyOTE1.WEBA3TGi-bzfpBx1VcKOsdvqSlS2V1dxx0y10eA_SX8g.bCXogB50T_9F-6MdPEjXI0uafXM1vROGqknk3dXqZREg.JPEG/output%EF%BC%BF931782491.jpg?type=w80_blur|||https://postfiles.pstatic.net/MjAyNTEwMzFfMjc2/MDAxNzYxOTEwOTU0NzE0.iQpncaSlCDTZN4kHpc_oSY1KgxnnuuhQS47lfgHVEBYg.gL5IotC28_blzS98vkbK7sR1rx-EmEXEncz-l1nTexMg.JPEG/IMG%EF%BC%BF0575.JPG?type=w80_blur|||https://postfiles.pstatic.net/MjAyNTEwMzFfMjEx/MDAxNzYxOTEwOTUzMzA2.OLKOqtOjUNo3AIWiQsVyGAYT566J90cA_9q_-golPrgg.A-zJj6rGj4KaBmZJXW1iMc5c_EsbZNqHlL99oVPt3vog.JPEG/output%EF%BC%BF215858439.jpg?type=w80_blur|||https://postfiles.pstatic.net/MjAyNTEwMzFfMTMy/MDAxNzYxOTEwOTU1ODIw.Sy8C-hqbxjikNusJHT8sOTfKMvdZfRp1Hb8nskXkw9cg.O_RBaSSr53Wn07hMuXaIXA9WuQfV4AXDJ-jUDix8TUEg.JPEG/IMG%EF%BC%BF0577.JPG?type=w80_blur|||https://postfiles.pstatic.net/MjAyNTEwMzFfMjE4/MDAxNzYxOTEwOTUxODEy.sooqTp4_OIjDyWRKRVqaQArPa7t-d4qoaXOJ78RePwAg.pv48MDY1mML4hbRNNtV9X09HumBm3bYkUx91xtMI0_gg.JPEG/output%EF%BC%BF3165899100.jpg?type=w80_blur|||https://postfiles.pstatic.net/MjAyNTEwMzFfMTAx/MDAxNzYxOTEwOTU3MDU0.0qeiXzxows9UmM6VZAhEEm_bv6kZiUf1B2w5MNWODIog.UgbtXm0nXf8UFyGH7iUbkGCXAriqnBkKvrFLYH0V66cg.JPEG/IMG%EF%BC%BF0579.JPG?type=w80_blur|||https://postfiles.pstatic.net/MjAyNTEwMzFfNzkg/MDAxNzYxOTEwOTU2NTA5.xo_YkawlH0kqvqoPCO_OBoAFexBWDOerSRTdKsypACog.2sseGYU-EL1REsX5N8uCdAJFKRbRyY60kQj9vq4zpSgg.JPEG/IMG%EF%BC%BF0580.JPG?type=w80_blur|||https://postfiles.pstatic.net/MjAyNTEwMzFfMjcy/MDAxNzYxOTEwOTU0NDI2.4COROHX-U2v-qBORxtcOak9Cs-KBBBhWIeRpNIwMRBUg.inKe_yeg-hZnKYCsSKQbSEZS-yrW4p9hWN0teN4hFQkg.JPEG/output%EF%BC%BF1868741935.jpg?type=w80_blur|||https://postfiles.pstatic.net/MjAyNTEwMzFfNjQg/MDAxNzYxOTEwOTU1NTY1.WvWo6Tf0u7jbX9DzwwlNbkuKUnE9O7b-PuJMxjZnEFUg.uJFnSG-i9TAdt8y26Kq3L9Hq4mBAixZ3OiBZbloVdIcg.JPEG/IMG%EF%BC%BF0582.JPG?type=w80_blur|||https://postfiles.pstatic.net/MjAyNTEwMzFfODcg/MDAxNzYxOTEwOTU1Mjc4.x_Bgos28QIg5yiPjZkac_w6Xv6PkKdfN7umBNN1Yxhgg.oGhVLeTRPXLkSr3Nt3-Z_TL6XtUbaSOORgTtDvlSW2og.JPEG/output%EF%BC%BF1662560899.jpg?type=w80_blur|||https://postfiles.pstatic.net/MjAyNTEwMzFfODEg/MDAxNzYxOTEwOTU2NzI3.WxZpWUJeVu2M9p3ADKEq18BT1tag2Usk04csZCj5U7Mg.vkdk0YiCQEDBcNPN2IWlZZ6WnXEQBMBlD0kVj8NJ8zAg.JPEG/IMG%EF%BC%BF0584.JPG?type=w80_blur|||https://postfiles.pstatic.net/MjAyNTEwMzFfOTgg/MDAxNzYxOTEwOTU3MDg4.ZUz5SWjUJb77W9RhBSzOKHlc5gKGVNaCa24AaP4ypOMg.GXmwM582108MdpmVHAxD0JWmredKs3rl7TACaf3_qWAg.JPEG/IMG%EF%BC%BF0585.JPG?type=w80_blur|||https://postfiles.pstatic.net/MjAyNTEwMzFfMjgg/MDAxNzYxOTEwOTU3MzIw.PA11pO9K-4LNNCQKSJTSgYjny_Nu4iUMZqS5669fjAgg.8dbchiCqHKNLhTKVoLFhwuu9O_kNBxmKfV4KJnyxO4kg.JPEG/IMG%EF%BC%BF0586.JPG?type=w80_blur|||https://postfiles.pstatic.net/MjAyNTEwMzFfMjgw/MDAxNzYxOTEwOTU3OTE2.XJ2PPTq0HxlWEfZz50DOGXLjgkm7GLGnXssMpqS7zpAg.Yr083Lk_AawhRzDhjRQu6Er7P-T__eQXU8_Uk8fYvAcg.JPEG/IMG%EF%BC%BF0587.JPG?type=w80_blur|||https://postfiles.pstatic.net/MjAyNTEwMzFfMTEw/MDAxNzYxOTEwOTU4Njkz.9_M2xzhpcMtgFliA1DGESvmTYPjXn6D8dkTR7V0qx2Yg.cicvcKloZrDWq7hBDy6uCgCcF1DCW5IJWFKAxyG1SIkg.JPEG/IMG%EF%BC%BF0588.JPG?type=w80_blur|||https://postfiles.pstatic.net/MjAyNTEwMzFfNzgg/MDAxNzYxOTEwOTU5Nzg0.74qi_M7XWCeJchtVI6nj2hN8ONaGULBKmFHfrSNRunQg.-JAEM4CRU_1Wf19KXDg1ocPyYUCde0PzfqtpQzASh4Ag.JPEG/IMG%EF%BC%BF0589.JPG?type=w80_blur|||https://postfiles.pstatic.net/MjAyNTEwMzFfMjk4/MDAxNzYxOTEwOTU5NTgz.-664bj_4caKNoYH53_GPIBhRCKcjQOXcX1vYFBUrguwg.FFeefkYsHFpRlNRu3W0yCp4anJe9tGtYGKWrFlBonKYg.JPEG/IMG%EF%BC%BF0590.JPG?type=w80_blur|||https://postfiles.pstatic.net/MjAyNTEwMzFfMTAz/MDAxNzYxOTEwOTYwMjM0.FZnJQOGPRPGISlUOTrZ-ekRi0R_zl9Cdk5GD3pTdJpog.4W4DeRgFMwABbRayuDJMj4Ci8CYByuWXzM9T9-fwfhcg.JPEG/IMG%EF%BC%BF0591.JPG?type=w80_blur|||https://postfiles.pstatic.net/MjAyNTEwMzFfMjA2/MDAxNzYxOTEwOTU5NTAw.ZuHoqix-UPlpLoo3KJY8qINFHPpWI97mWv2BaL-K0Q4g.ybMwej1EnKDrK2fW6kKyIGXtTapKJaYSfEGOZPWpRIYg.JPEG/IMG%EF%BC%BF0592.JPG?type=w80_blur|||https://postfiles.pstatic.net/MjAyNTEwMzFfMjk5/MDAxNzYxOTEwOTU4Mzk5.KyVN7Aloahg90OaCm75NUOctUBpMQtxx2RK0j8sGh8Yg.tdNokKNaJT11o1Qk6sgScgsiQSdPUM1F-RHNb4rKEmEg.JPEG/output%EF%BC%BF234970515.jpg?type=w80_blur|||https://postfiles.pstatic.net/MjAyNTEwMzFfMTUz/MDAxNzYxOTEwOTYwMTE4.o5R9Gw8fRoLFKVu2bBtLSCY3XbwOxhXARKDLIEQ9p8gg.FlFhUc_4zdw9IuU2JirBjV-hUZzmLX4r-fPrCqzNMN8g.JPEG/IMG%EF%BC%BF0594.JPG?type=w80_blur|||https://postfiles.pstatic.net/MjAyNTEwMzFfMTQ0/MDAxNzYxOTEwOTYxMTAw.8-K4lgq-Yqlbh4Ogx3TpRhalAFmwy5U1QZVIzTJfGMwg.9DH7ZDemDtC7Gs6g4cnGkLd0_he4cxdtHdro4kNXIWEg.JPEG/IMG%EF%BC%BF0595.JPG?type=w80_blur|||https://storep-phinf.pstatic.net/ogq_6001c41e777e4/original_24.gif?type=pa50_50</t>
  </si>
  <si>
    <t>비로</t>
  </si>
  <si>
    <t>독일피엠 액션팩으로 피엠주스 가장 저렴하게 구.. : 네이버블로그</t>
  </si>
  <si>
    <t xml:space="preserve">온라인 독일피엠 사업자이자 빠른 상담과 정확한 응대로 유명한 '판다피엠'입니다. 오늘은 독일피엠... 피트라인 액션팩, 왜 가장 경제적인가요? — 가격 비교 요약 액션팩은 사업자들에게는 사업 확장의... </t>
  </si>
  <si>
    <t>blog.naver.com/pandatogether</t>
  </si>
  <si>
    <t>https://blog.naver.com/pandatogether/224059928802</t>
  </si>
  <si>
    <t>pandatogether</t>
  </si>
  <si>
    <t>안녕하세요.
온라인 독일피엠 사업자이자
빠른 상담과 정확한 응대로 유명한
'판다피엠'🐼입니다.
오늘은 독일피엠 액션팩으로 가장 저렴하게 구입하기(2세트 구매 시 추가증정 이벤트)에 대해 알려드릴게요.
📢빠른 내용 요약
매년 5월, 11월에 판매하는 액션팩
오토십보다 저렴하게 피엠주스 구매가능
1인 2세트 구매 시 파워칵테일, 리스토레이트 각 2상자씩 무료 증정
5+1 무료배송, 단품 구매 가능
구매 시 전용보틀 증정
독일피엠 액션팩 프로모션이란?
드디어 돌아왔습니다.
저도 너무나 기다렸던 11월이요.
피엠 영양제를 먹는 사람들에게는
11월의 크리스마스 선물같은 달이죠.
매년 5월·11월에만 진행되는
독일 피엠(PM)의 액션팩 프로모션은
평소보다 훨씬 저렴한 가격에
파워칵테일 + 리스토레이트 세트를
구매할 수 있는 기회에요.
그래서 매년 5월, 11월에 구매하는 것이
한 달 기준 비용을 크게 낮추는
가장 합리적이고 경제적인
방법이에요.
그런데 이번달에 꼭 구매해야하는 이유가
있어요!
바로 피엠 코리아 7주년 기념으로
11월 액션팩의 역대급 혜택이
소개되었어요.
이런 후한 프로모션은 처음입니다!
피트라인 액션팩, 왜 가장 경제적인가요? — 가격 비교 요약
액션팩은 사업자들에게는
사업 확장의 중요한 기회가 되기도하지만
소비자 입장에서는
피엠의 블랙프라이데이같은 시기입니다.
독일 피엠 파워칵테일+리스토레이트의
각 1상자씩 가격 비교
독일피엠 가장 저렴하게 구매하는 방법
피엠 액션팩을 추천드리는 이유는
가장 큰 혜택인 가격의 메리트에요.
바로 알려드릴게요.
일반 소비자(정상가): 198,375원
회원가입 후 팀파트너 가격: 158,700원
오토십(정기구독): 137,100원
BA 스페셜 가격: 119,040원
액션팩(5월·11월 프로모션): 109,120원
액션팩 2세트 구매 시: 90,933원
가장 저렴한 피엠 액션팩
이번 11월의 액션팩 프로모션인
액션팩 2세트 구매 시
파워칵테일 2상자+리스토레이트 2상자를
추가로 드리니
액션팩 2세트 구매하시면
단품 1세트를 90,933원에 구매하실 수 있는
엄청난 기회에요!!!!!
이런 분들께 액션팩 추천드려요
1. 피엠 최저가 혜택
피엠주스 정품을 경험해보고 싶은데
그동안 비용이 부담이었거나
조금 저렴한 비용으로
먼저 경험해보고 싶으신 분
오토십보다 약 3만원 정도 절약할 수 있어요.
2. 가성비 좋은 구매
가족이 함께 복용하여
피엠제품 소진속도가 빠르신 분
피엠 제품으로 해독하시는 분들이
구매하시기 좋아요.
3. 연말 새해 선물 미리 준비하기
부모님, 지인분들께
연말선물로 유명한 독일영양제
선물해드리고 싶으신 분
묶음 구매 가능하니
한번에 연말선물, 새해선물 준비
가능하셔요.
독일PM 액션팩프로모션
지금이 기회입니다.
파워칵테일+리스토레이트 각 1세트부터
구매가능하며
전용보틀 같이 보내드리니
꼭 연락주세요.
5+1로 구매 시 본사에서 무료배송을
도와드리며 545,600원입니다.
일반 소비자가 기준 약 45% 할인된 금액이에요.
독일 피엠 액션팩은
오토십을 보유한 팀파트너만 구매 가능합니다.
하.지.만
오토십이 아니시거나
회원이 아니시더라도
구매 가능하도록 도와드리니
주저하지 마시고 바로 댓글이나 톡톡 주세요.
망설이면 품절입니다.
피엠주스 액션팩 구성은 어떻게 되나요?
피엠 액션팩은 피엠쥬스로 잘 알려진
파워칵테일과 리스토레이트가
각각 5상자로 구성되어있어요.
피트라인 피엠쥬스 싸게사는 방법
파워칵테일의 성분과 효능
파워칵테일은 종합비타민 아침주스로
하루에 필요한 영양소를
한번에 쉽게 복용할 수 있어요.
비타민 B군 8종
: 영양소 대사와 에너지 생성에 도움
셀레늄, 비타민C, 비타민E
: 유해산소로부터 세포를 보호하는
항산화 작용
유산균 2종과 식이섬유
리스토레이트의 성분과 효능
리스토레이트는 저녁주스로
8종의 무기질(미네랄)과 비타민의
조합이에요.
칼슘
: 뼈와 치아 형성, 신경과 근육기능 유지
철분
: 체내 산소운반, 혈액과 에너지 생성
마그네슘
: 신경과 근육기능 유지
아연
: 정상적인 면역기능
구리
: 철의 운반과 이용
망간
: 뼈 형성과 에너지 이용
구리, 셀레늄, 망간
: 유해산소로부터 세포 보호
크롬
: 체내 탄단지 대사에 관여
비타민 D
: 뼈의 형성과 유지, 칼슘 인 흡수
다른 피엠 제품이 궁금하시거나
직접 구매를 원하시면
독일 피엠 회원가입은 아래의 글을 참조해주세요.
https://blog.naver.com/pandatogether/223991900507
독일피엠회원가입 오토십가입 방법 (믿을만한 추천인코드 8479329)
안녕하세요. 아시아 1위 조이그룹, 봉피디 유희원PT님의 떠오르는 핵심멤버, '판다피엠'🐼입...
blog.naver.com
궁금하시면 아래 톡톡 배너 누르시고
언제든지 편하게 문의주세요.
택배로 빠르게 보내드릴 수 있고,
광교 수지 용인 동탄 지역은 빠르게 전달 가능해요.
이 정보가 유용하거나 좋으시거나
건강에 관련된 정보가 필요하다면
이웃추가 후 빠르게 소식 받으실 수 있어요.
주변에 이 글을 공유해주시거나 스크랩도
매우 가능합니다:)
덧글 환영
개인별 상황에 맞는 솔루션 Q&amp;A 해드려요 :)
피엠 추천인코드 8479329 고선미M</t>
  </si>
  <si>
    <t>https://postfiles.pstatic.net/MjAyNTEwMzFfMjM5/MDAxNzYxODgwNzc4OTk2.t199OL0krRvnkk7hM4NZsHKEobblWf1AwB98TXbJ_hcg.J1M1_G_lkwiM90SlCt1zkN5F87JKZtBFj4emlT4VCocg.PNG/001.png?type=w80_blur|||https://postfiles.pstatic.net/MjAyNTExMDFfMTUz/MDAxNzYxOTk4NzE2ODQ1.lZp8551ukt8E0a5URmOjty4un7BnIwlMV6hMl1XzGTIg.oEh36OZd8sY-qUMgHMVsvc-UQgbMrzBb3-P9OYnHOSgg.PNG/image.png?type=w80_blur|||https://postfiles.pstatic.net/MjAyNTExMDFfNTUg/MDAxNzYxOTk4NzM2NzI0.CQ_e8fkitgRxlZx4Ws5oFDWqZcDg7lO5YIG1HgRKJBgg.jF-0wF-sY9wMq5EKOKHa95QsONBjonlwfECSZ1BtekQg.PNG/image.png?type=w80_blur|||https://postfiles.pstatic.net/MjAyNTExMDFfMTEy/MDAxNzYxOTk4NzQ1MTI4.KY3hgTSStWzbZjk1LKFcwflqWJAsyaUufO2A6M43UCEg.M5OlKPzMMRkFrLtzAPjEhdeBCIpwSvIMgMay01AVJjQg.PNG/image.png?type=w80_blur|||https://postfiles.pstatic.net/MjAyNTEwMzFfMjIg/MDAxNzYxODgwNzk1NTc0.pmXB06qexGrz8iUvR5399lNuFHAUm4xVO_R7cA-1LNsg.F9FuCLiZ4rjL4UUQsoEZs_1Gqy1d0uFsWm3bGx8kZlsg.PNG/004.png?type=w80_blur|||https://storep-phinf.pstatic.net/motion2d_01/original_7.png?type=p100_100|||https://postfiles.pstatic.net/MjAyNTEwMzFfMTE0/MDAxNzYxODgwODE2ODE3.kBl4X5r2VsRgtY4yluAGLEc4T0wACrc12_HX3CePGZQg.cOlBM4Z3mTeYvPEoBfKHutfdT1rCq4ne3IMXHPyXZ58g.PNG/002.png?type=w80_blur|||https://postfiles.pstatic.net/MjAyNTEwMzFfNzYg/MDAxNzYxODgwODAzMzQw.3omXshRTshfcNHZZQNgW1gMZH9Abd1u59bprwy28FKcg.RhnjSkv8eypWXlvIOwYbICbevzkdjbRgL1TDCFa-i1og.PNG/003.png?type=w80_blur|||https://dthumb-phinf.pstatic.net/?src=%22https%3A%2F%2Fblogthumb.pstatic.net%2FMjAyNTA5MDJfNzMg%2FMDAxNzU2NzYyMzc4NjI2.quFEhB-PyMMBrd7zjWHWsU9O77UOArwqz3LlPkoKWVkg.HGygt80-ONQjmGuQJyjeSkZn_EmpPd2yc1z3CgbXrA0g.PNG%2F%25C8%25B8%25BF%25F8%25B0%25A1%25C0%25D4-001.png%3Ftype%3Dw2%22&amp;type=ff500_300|||https://postfiles.pstatic.net/MjAyNTEwMzFfMjk5/MDAxNzYxODcyNDU2NjYz.Qwk-5acJDpeEwaT5EZW_qGpXJuoYVyGVVG8bBjdAZ90g.NhIg3zhylyISBwg2Bbac2kPNcG2NmjY_sWUIoFfbaKQg.PNG/%EC%9C%A0%ED%8A%9C%EB%B8%8C-%EB%B0%B0%EB%84%88-002.png?type=w80_blur</t>
  </si>
  <si>
    <t>되었어요</t>
  </si>
  <si>
    <t>액티바이즈, 효능 부작용 섭취법 총정리 : 네이버 블로그</t>
  </si>
  <si>
    <t xml:space="preserve">액티바이즈(Activize)는 독일 피트라인(FitLine)사의 대표적인 건강보조식품으로 비타민 B군 복합체를 중심으로 만들어진 에너지 부스터 제품인데요 . 커피처럼 일시적인 각성 효과가 아니라, 몸의 에너지 생성... </t>
  </si>
  <si>
    <t>blog.naver.com/pm_yeon_</t>
  </si>
  <si>
    <t>https://blog.naver.com/pm_yeon_/224059817925</t>
  </si>
  <si>
    <t>pm_yeon_</t>
  </si>
  <si>
    <t>하루를 시작해도 금세 피곤하고, 집중이 안 되는 날이 많아졌다면
에너지 대사가 원활하지 않다는 신호일 수 있습니다
액티바이즈
이럴 때 많은 분들이 찾는
제품이 바로 액티바이즈Activize 예요
오늘은 액티바이즈의
효능, 부.작용, 섭취법을 깔끔하게 정리해보겠습니다!!
.
액티바이즈란?
액티바이즈(Activize)는 독일 피트라인(FitLine)사의 대표적인 건강보조식품으로
비타민 B군 복합체를 중심으로 만들어진 에너지 부스터 제품인데요
.
커피처럼 일시적인 각성 효과가 아니라,
몸의 에너지 생성 시스템(대사) 자체를 활성화시켜
피로감 완화와 활력 회복을 돕는 것이 핵심이에요ㅎㅎ
액티(아이스티피치맛)
독일 피엠 액티바이즈 효능!
1. 피로회복 및 에너지 생성 촉진
액티바이즈의 핵심은 비타민 B군입니다.
비타민 B1, B2, B3(니아신), B5(판토텐산), B6, B12가
탄수화물과 단백질 대사를 도와 세포 내 에너지 생산을 활성화시켜요.
그 결과, 몸의 피로감이 줄고 하루 종일 활력을 느낄 수 있습니다.
2.집중력과 컨디션 향상
피로가 누적되면 집중력이 떨어지고 멍한 상태가 지속되죠.
액티바이즈는 두뇌 에너지 공급을 도와
업무나 공부 시 집중력 유지에 도움을 줍니다.
3.혈액순환 및 신진대사 개선
액티바이즈에 포함된 **니아신(비타민 B3)**은
혈관을 확장시켜 혈액순환 개선에 도움을 주며,
손발이 차거나 피로한 분들에게 좋은 반응을 보입니다.
4.면역력 강화 및 항산화 효과
산소와 영양을 세포 끝까지 전달해주고
비타민복합체로 면역력 강화에도 긍정적인 영향을 줍니다
액티바이즈, 효능 부작용 섭취법 총정리 (1)
재생
1
좋아요
0
00:03
접기/펴기
액티바이즈, 효능 부작용 섭취법 총정리 (1)
액티바이즈, 효능 부작용 섭취법 총정리 (2)
재생
1
좋아요
0
00:05
접기/펴기
액티바이즈, 효능 부작용 섭취법 총정리 (2)
&lt;액티바이즈 섭취법&gt;
섭취량: 3스푼~5스푼 물 200ml에 타서 마십니다
섭취 타이밍
아침 공복에 섭취 → 하루 활력 UP
운동 전 30분 전 섭취 → 에너지 부스터 효과
섭취 횟수: 하루 1~2회 정도 권장
보관 방법: 습기 없는 서늘한 곳에 밀봉 보관
💡 Tip:
공복에 마시면 체내 흡수율이 높고, 따뜻한 물에 타면 몸이 금세 따뜻해지는 느낌을 받을 수 있습니다.
.
액티바이즈 부.작용 및 주의.사항
액티바이즈는 일반적으로 안전한 건강보조식품이지만
체질이나 섭취량에 따라 다음과 같은 부.작용이 나타날 수 있습니다.
니아신 플러시(Niacin flush)
얼굴이 붉어지거나 따뜻해지는 느낌이 있을 수 있으나
대부분 일시적이며 정상적인 혈관 반응입니다.
특정 질.환자 또는 임산부
당뇨, 고혈압, 임신 중이거나 수유 중인 분은
섭취 전 반드시 전문의와 상.담이 필요합니다.
👉 균형 잡힌 식단과 충분한 수면, 수분 섭취를 병행할 때
액티바이즈의 효과가 극대화됩니다.
정리하자면
액티바이즈는 비타민 B군 복합체로
에너지 대사를 활성화시키고
피로회복, 집중력, 혈액순환을 동시에 돕는 하루 활력 충전용 비타민복합체 건강 음료입니다
커피처럼 순간적인 각성이 아니라,
몸의 근본적인 에너지 생산 시스템을 도와
“자연스러운 활력”을 되찾게 해주는 점이 제일 큰 장점이에요!
요즘 액티바이즈를 검색해보면 정말 효과가 있나요?
피로가 진짜 줄어요? 라는 질문이 많아요
이건 단순히 건강.기능식품에 대한 궁금증이라기보다
지친 일상 속에서 다시 에너지를 얻고 싶은 마음이 반영된 거라고생각됩니다^^
현대인 대부분은 커피나 에너지음료로 하루를 버티지만
그건 잠깐의 각성일 뿐 결국 더 피로해지는
악순환이 반복되죠
그래서 몸의 밸런스를 되살리는 방법에 대한
욕구가 커지고 있습니다
.
이때 액티바이즈는 “카페인 말고 비타민으로 활력을 얻는다”는 새로운 선택지로 주목받는 거예요
특히 직장인이나 수험생처럼 하루 종일 머리를 써야 하는 사람들에게
‘지속 가능한 집중력’은 굉장히 큰 매력포인트죠!
그래서 단순히 피로회복제가 아닌,
“내 몸의 에너지를 깨우는 루틴템”으로 인식이된거에요
또 하나 흥미로운 건, 즉각적인 플러시 효과 체감이에요!
액티바이즈를 마신 후 10분 이내에 몸이 따뜻해지거나
얼굴에 약간의 열감이 느껴지면서 뭔가 돌아가는 느낌이 들기 때문입니다
이런 체감형 변화가 사용자의 만족도를 높이고
SNS나 커뮤니티에서 “진짜 효과 있더라”라는 후기가 퍼지게 되는 이유이기도 해요
액티바이즈, 효능 부작용 섭취법 총정리 (3)
재생
2
좋아요
0
00:27
접기/펴기
액티바이즈, 효능 부작용 섭취법 총정리 (3)
.
결국 사람들은 단순히 ‘건강.기능식품’을 찾는 게 아니라
매일의 피로를 이겨낼 수 있는 작은 확신 을 찾고 있는 거죠
액티바이즈는 그 확신을 주는 하나의 도구로 자리 잡고 있습니다.
피로감이 심하거나 활력이 필요한 날, 아침 한 잔의 액티바이즈로 몸의 엔진을 깨워보세요</t>
  </si>
  <si>
    <t>https://postfiles.pstatic.net/MjAyNTEwMzFfMTAz/MDAxNzYxODc1MDM4Mjc0.CR5QMDocSm1FeabMMlDKL_GOmNWp349b_NxyRhsmeVYg.hZdflCbpTGQDj3dirFJp3B2pf3snQte2neHbtUOCCdYg.JPEG/output%EF%BC%BF3902020470.jpg?type=w966|||https://postfiles.pstatic.net/MjAyNTEwMzFfMTUx/MDAxNzYxODc1MDM3MTQ5.2xiT15WX210CuyVQv_Rza_NR5HHfLBZNZ71cyfoc0w0g.9KD_ln-KU2XyzHeTZX71NGv5SJ9ZOwFypypwG2urAegg.JPEG/output%EF%BC%BF3861260399.jpg?type=w80_blur|||https://postfiles.pstatic.net/MjAyNTEwMzFfNDYg/MDAxNzYxODc1MDM3ODEz.JvnaIy1lHd2-LxqgMnrIcR4vKAulqKqhGfzYjnKGv90g.fTZTbyjsEzBWKQ53NxW3WOwb_i38rJI2sux-FpVe2yog.JPEG/output%EF%BC%BF220028906.jpg?type=w80_blur|||https://postfiles.pstatic.net/MjAyNTEwMzFfMjMg/MDAxNzYxODc1MDM4NjM0.S1WrYabvzHQJ6T_dhtN56cJAhwf-C4MHR2Vmh4X-160g.q4LGKgMThF0Qfxh1GxPu2oH4Oji6YKBINbx5IO4IjIcg.JPEG/output%EF%BC%BF2599503447.jpg?type=w80_blur|||https://postfiles.pstatic.net/MjAyNTEwMzFfMTEx/MDAxNzYxODc1MDM3NzUy.eEtTjVrP3y10rJX6ElOovG7J2_47DwtdlYRH1nR55Dog.KQKdtoI0mbQTuCUJ6kEW8idlmulNm4mYoDFlLaNnut0g.JPEG/output%EF%BC%BF2820581755.jpg?type=w80_blur|||https://postfiles.pstatic.net/MjAyNTEwMzFfMjY0/MDAxNzYxODc1MDM3OTgw.yAqtJgSkyPh_o6POqC4DIoocQVRoavH-ZH-JL7DsDBYg.ZGN3M4VawVVjPB9i8vGNJql5B2Qt1cvgUKd6MfE1CUsg.JPEG/IMG%EF%BC%BF5510.jpg?type=w80_blur|||https://postfiles.pstatic.net/MjAyNTEwMzFfNzcg/MDAxNzYxODc1MDM3MTU5.-LrosJwg5U4HAm8FlD06WwPPGLBtAh-9Yq9Qotr_ylEg.yTeB3BHm1OrFGupEpYdTowYILPkE-DKLc3ZsSuK3V3gg.JPEG/output%EF%BC%BF4023554703.jpg?type=w80_blur|||https://postfiles.pstatic.net/MjAyNTEwMzFfNjQg/MDAxNzYxODc1MDM3MTQ5.iHJCx3NzKyYwKygRqWgHHItbjsc4aPH6sMtb3DZi1kcg.c1YEaEXF0-zas4uZm4pG8tu18ZfnK7q6iWsEkk-woMcg.JPEG/output%EF%BC%BF2236346605.jpg?type=w80_blur|||https://postfiles.pstatic.net/MjAyNTEwMzFfMjE1/MDAxNzYxODc1MDM3Mjc5.y8Od4afC9ahtnTUmvDAaNpkyedPJWPVmSpFlXxJUDEsg.cu9Kj7DwSZgEM5lZ-NdjU0R1-hfaMoRX8qMwKj2CMSsg.JPEG/IMG%EF%BC%BF5558.jpg?type=w80_blur|||https://postfiles.pstatic.net/MjAyNTEwMzFfMTA2/MDAxNzYxODc1MDM3MjUw.VfJ5-LeNoOgAnnJVY2vKBNxHE_LHro5CFXsm60cw7Pkg.nbmVxQNJcnWL0bPkKJ3Uk2RneZVMZPNWHbLiSZGm-ZIg.JPEG/IMG%EF%BC%BF5567.jpg?type=w80_blur|||https://postfiles.pstatic.net/MjAyNTEwMzFfMTAx/MDAxNzYxODc1MDM3ODg1.rMvtFBAOur0MPdyazPqkir_wiskO-ygraDOWkDuyoIYg.dTa-kbVpl2dok8Thpb7Fs2ISHcYHypJ0L_r2lJst3cIg.JPEG/IMG%EF%BC%BF5562.jpg?type=w80_blur|||https://postfiles.pstatic.net/MjAyNTEwMzFfMjg2/MDAxNzYxODc1MDM4OTgw.sy-8WFAHSyvd3Fp_MMhJtcdNhRjBdCVQkUVqwxLmDy8g.ERrSNG5E7JVN20Ttv5woX8XhAGc4V70GIqTyHLvana4g.JPEG/IMG%EF%BC%BF5565.jpg?type=w80_blur|||https://postfiles.pstatic.net/MjAyNTEwMzFfMjQx/MDAxNzYxODc1MDM5MTM2.ii1OftMFg3dCvyuOsxHQ_CndsUbeWf98W90F0PSdYmIg.6wxWGk3gnm-0lkI7NfBN9Mlx-kIqBMWjTHiT-m2IOzQg.JPEG/IMG%EF%BC%BF5563.jpg?type=w80_blur|||https://postfiles.pstatic.net/MjAyNTEwMzFfMjU3/MDAxNzYxODc1MDM5Mjc2.Wm5UZC008x16gCwtAJ4-DRBjIGv_fEduYILZESAXrOIg.vz4XRhMhe1vHAFUK1NYjMoXWryiFaAk-tm0AlLSMhU8g.JPEG/IMG%EF%BC%BF5559.jpg?type=w80_blur|||https://postfiles.pstatic.net/MjAyNTEwMzFfMjY3/MDAxNzYxODc1MDM5NzA0.2MbpMfGDZW5TK_t2tXXcIv1CoA6jQTJI538BvY6N54cg.JLEujmtl4AeOLFxOhljr4D3I58yCtoNJcV838XRZSssg.JPEG/output%EF%BC%BF2835920153.jpg?type=w80_blur|||https://postfiles.pstatic.net/MjAyNTEwMzFfMTk1/MDAxNzYxODc1MDM5NzAz.327t4B6mTJnxMaVNYs2sD50VDZoZ7wbuXzw5FVjx6XYg.TmCTPio8z5W1ImnrjCy70V4T-KYZia3-6wQlR9ksIwwg.JPEG/output%EF%BC%BF3410926040.jpg?type=w80_blur|||https://postfiles.pstatic.net/MjAyNTEwMzFfMTUw/MDAxNzYxODc1MDM5MDgx.Lp6O5Byd50cDR1-gAX6pq2225WNgzjVg59USDl8hLmgg.eYU4YlG-2kR9Zy_SN1GI3cHgYSxQT3830S_wYsEtnHsg.JPEG/output%EF%BC%BF4122464097.jpg?type=w80_blur|||https://postfiles.pstatic.net/MjAyNTEwMzFfMTYw/MDAxNzYxODc1MDM5MjI4.wVxaPvPvnvsugzVVlGPLlnlkQpXFME-kmwIfSizE08Yg.UzGbrCbExlQrItJ6ayLXkqPdV9FxwIEoSifqia4hG58g.JPEG/output%EF%BC%BF530611117.jpg?type=w80_blur|||https://postfiles.pstatic.net/MjAyNTEwMzFfMjc3/MDAxNzYxODc1MDM5NDk2.Yxj0EtSNkKSdY6Jy98VfqI9FGV4QiQAt9x_ce9iCVC8g.HIYY0n8LZ0oJxvDfIr8vUDrXRnF9AxpXdh0HxafJsDEg.JPEG/IMG%EF%BC%BF5557.jpg?type=w80_blur</t>
  </si>
  <si>
    <t>https://mblogvideo-phinf.pstatic.net/MjAyNTEwMzFfMjAz/MDAxNzYxODc1MDM3MjUx.GZMDV8kKv0SCwMiYnXgxDKAtq5NFRlvKLdcNF4VJ_0Eg.rrswMW-UKF0lWKWbE5oF0AIM1GccJoDgjSxVilAZNB8g.GIF/1670462054.gif?type=mp4w800|||https://mblogvideo-phinf.pstatic.net/MjAyNTEwMzFfMTkw/MDAxNzYxODc1MDM4NDYw.HdBHV24lZxqIJseBZhwJ24U0yYHAjKH-Y99ykU3oNbkg.lNr9CRifgR3_Q49gUnCz1FLb6wUHDDAXJVtadvdsFGwg.GIF/4293270438.gif?type=mp4w800</t>
  </si>
  <si>
    <t>아이 숙면에 도움이 되는 무기질 영양제 피트라.. : 네이버블로그</t>
  </si>
  <si>
    <t xml:space="preserve">아이 성장과 숙면에 필요한 독일pm 피트라인 리스토레이트 아이들에게는 정말 안전하고 건강한 무기질 영양제를 추천해야됩니다. 독일pm 피트라인 리스토레이트는 퀄린리스트에 등재 될 만큼 안전이 보장되어... </t>
  </si>
  <si>
    <t>blog.naver.com/jinju5295</t>
  </si>
  <si>
    <t>https://blog.naver.com/jinju5295/224059323057</t>
  </si>
  <si>
    <t>jinju5295</t>
  </si>
  <si>
    <t>안녕하세요. 친절한 독일피엠진주 입니다.
오늘은 아이의 숙면에 관련된
책을 찾아보았습니다.
현대인들에게 잠은
아깝다. 라는 생각때문에
매일 늦게까지 휴대폰을 하기도 하고
학생들은 공부 때문에 수면이 부족하기도 하죠.
아이를을 위해 어른이 함께
바뀌어야 하는데요.
저희는 10시전에 항상 잘 수 있도록
환경을 만들지만 다시 한번 집어보기로 했습니다.
4~7세 수면을 잘해야 아이가 알아서 공부합니다. 저자 한진규
소개
고려대학교 의과대학 졸업 후
세계적으로 인정받는 미국의 3대
수면 병원인 클리브랜드 클리닌에서 수면 전임의 과정을 마쳤다.
국내 신경과 의사로서 최초로, 아이아에서 10명 남짓 되는 '미국 수면 전문의 자격'을 취득하였다.
현재는 서울 강남구 논현동에 국내 최초 수면 전문 클리닉인 서울스페셜수면의원을 설립하여 수면 장애 환자들에게 원스톱 맞춤 서비스를 제공하고 있다.
수면음식, 잘 먹는 아이가 잠도 잘잔다.
히포크라테스는 음식으로 고치지 못하는 병은 약으로도 고치지못한다고 했습니다.
세월이 흐르면서 예전에 병을 고칠 수 있다는 말은 병을 예방할 수 있다는 뜻으로 해석하는 게 더 설득력이 있어 보입니다.
수면에 도움이 되는 음식
신선한 과일과 채소
: 단백질이 밤 동안의 허기를 막아주는 반면, 신선한 과일과 채소는 소화가 잘 되게 하여 수면에 도움을 줍니다.
섬유질과 곡식류
: 끼니때마다 한 조각의 섬유질 빵을 먹으면 수면에 도움이 됩니다.
채소 및 과일 샐러드와 함께 먹는 곡식류에 있는 복합 탄수화물은 소아심장질환이나 소아당뇨병에 걸릴 위험을 절반 이상으로 줄여 주고 가벼운 수면을 유도해줍니다. 또한, 수면을 촉진시키는 뇌의 신경전달 물질인 세로토닌 양을 증가합니다.
무기질 영양제 추천 '리스토레이트'
무기질
: 칼슘, 마그네슘, 철, 트리토판과 같은 비타민 무기질 제제는 질병을 예방해 주고, 기분을 좋게 해주며 적당한 수면을 취할 수 있게 해줍니다.
특히 칼슘은 수면 호르몬인 멜라토닌을 만드는 데 많은 도움을 주는 아미노산인 트립토판을 분비시킵니다. 그만큼 신경계에 꼭 필요한 영양소라는 뜻입니다. 그래서 무기질이 조금만 부족해도 우리 몸은 불면증을 일으키기 쉬운 상태가 됩니다.
철, 구리 마그네슘 또한 수면 중 다리 움직임을 편안하게 도와주고 개운한 수면에 도움을 줍니다. 철이 많이 들어있는 음식에는
-푸성귀, 간, 달걀, 간, 선지, 고기, 생선, 아보카도, 아몬드 등이 있고
마그네슘이 풍부한 음식에는
-고기, 생선, 해산물
등이 있습니다.
단백질과 필수 아미노산
: 필수 아미노산인 트립토판이 들어있는 음식을 먹거나 트립토판 보충제를 복용하면 밤에 좋은 잠을 자게 되어 낮 동안에 쏟아지는 졸음을 어느 정도는 막을 수 있습니다. 트리토판 대사 중 발생하는 기능에는 숙면을 유도하는 신경 전달 물질인 세로토닌의 촉진을 돕는 성분이 들어 있기 때문입니다.
다량의 트립토판을 함유한 음식으로는 따뜻한 우유, 칠면조 고기, 참치, 치즈 등이 대표적입니다.
수면에 방해가 되는 음식
다음 6가지 식품군은 수면을 방해할 뿐만 아니라 다른 질병이나 기타 질환에도 해로운 음식입니다.
그동안 아이의 몸에 밴 식습관을 한순간에 바꾸기는 다소 어려울지라도 조금씩 줄여 나가는 노력이 반드시 필요 하다는 점을 명심해야 합니다.
당분이 많이 포함된 음식
:설탕이 많이 든 음식은 에너지를 많이 내는 것 같지만 곧이어 혈당 불균형을 초래해 내 몸의 에너지를 붕괴시킨다.
전분
:옥수수, 스파게티, 쌀, 감자, 밀가루 등 모든 전분은 소화가 될 때 당분으로 바뀌며 포도당으로 변한다 당분을 섭취한것가 같은 상태가 된다.
빵
:흰 빵은 항상 피하세요.
백설탕과 밀가루로 만들었기 때문에 영양학적인 가치도 없다.
곡식류가 많이 함유된 빵을 먹는 것은 괜찮습니다.
카페인
: 콜라, 초콜릿, 녹차 맛 아이스크림, 에너지 드링크 이런 식품은 숙명을 방해 뿐 아니라 아이들 성장에도 도움이 안된다. 일반적으로 카페인은 우리 몸 안에 12~24시간이 남아 있을 정도로 강력한 흥분제이다.
아이 성장과 숙면에 필요한
독일pm 피트라인 리스토레이트
아이들에게는 정말
안전하고 건강한 무기질 영양제를
추천해야됩니다.
독일pm 피트라인 리스토레이트는
퀄린리스트에 등재 될 만큼
안전이 보장되어 있고
몸에 잔여물이 남지 않게
특허가 만들어졌답니다^^
아이 숙면에 도움을 주는
피트라인 리스토레이트
단백질이 들어있는 웨이!
꼭 경험해보세요!^^
리스토레이트 먹는방법은
간단하게 물에 타서 마시면 끝!♡
구매방법
-https://pm.pmi-korea.com/main.do
-회원가입 *반드시 팀파트너 가입
추천인번호 8242016 진주
-리스토레이트 구매
친절한 독일피엠진주
추천인 번호 8242016
제품문의 010 5295 0067</t>
  </si>
  <si>
    <t>https://postfiles.pstatic.net/MjAyNTEwMzBfMTU1/MDAxNzYxODI2Njc0OTc1.MXNYcvaTFmoJ8LxKnE9_GrRSZVxyowcgpTYYmfDiH4gg.NUVrlnQ6iyGJIzaw20Wflv7PlWV_NxpKXFDa_GAUffog.JPEG/900%EF%BC%BF20251030%EF%BC%BF112653.jpg?type=w80_blur|||https://postfiles.pstatic.net/MjAyNTEwMzBfMjAg/MDAxNzYxNzk3NjQ4OTc3.C-zgGubrC0Kjca4F_QDXnBUZ6KvtuVM6C9y-SY-IysUg.MjAiaTRbmpJ2aPp9xGNhezY1be8_glKhACVi0QlkwRYg.JPEG/900%EF%BC%BF20251030%EF%BC%BF130122.jpg?type=w80_blur|||https://postfiles.pstatic.net/MjAyNTEwMzBfMTYg/MDAxNzYxODI2ODU5MjIy.SaINOP9WJEVVRqPFTCaSL33RE6Ju5lfqClJ2wlvi3okg.kQSoZFGunkIgGNm7taQCXB0ukDZlKd4nKOjBKJGV7Mgg.JPEG/900%EF%BC%BF20251030%EF%BC%BF212041.jpg?type=w80_blur|||https://postfiles.pstatic.net/MjAyNTEwMzBfMzAg/MDAxNzYxODI2ODU5MjI4.IqrSDngS_BUZFitwu6xqSrPP4pWyJb9_UQOozikcLkMg.VZmzd_eVehVVLV1V925MfBQAKJYf0GRb-ygR77EMUi4g.JPEG/900%EF%BC%BF20251030%EF%BC%BF212035.jpg?type=w80_blur|||https://postfiles.pstatic.net/MjAyNTEwMzBfMTYw/MDAxNzYxODI3MjEwODc2.1CY_BPhHGStO3dzP5Jsu0CYthhMddT8zBVpi-gqnoC0g.BwGfra0wIjxoKY0ONp30z_HKAdJNJzzXsBwlENA9BPAg.JPEG/900%EF%BC%BF1761827209818.jpg?type=w80_blur</t>
  </si>
  <si>
    <t>고려대학</t>
  </si>
  <si>
    <t>베이식스 제로미스 아이폰 사생활 보호필름 36.. : 네이버블로그</t>
  </si>
  <si>
    <t>그래서 이번에 베이식스 아이폰 사생활 보호필름 쉽게 부착해서 360도 사생활 보호로 안심하고 버스나... 영상이나 카톡 안심하고 해보세요!! #아이폰사생활보호필름 #제로미스 #베이식스 #사생활보호필름</t>
  </si>
  <si>
    <t>blog.naver.com/adorablej_j</t>
  </si>
  <si>
    <t>https://blog.naver.com/adorablej_j/224061055353</t>
  </si>
  <si>
    <t>adorablej_j</t>
  </si>
  <si>
    <t>안녕하세요, 찌니에요 :)
여러분들은 요즘 스마트폰 화면을 누가 볼까
신경 쓰인 적 있으신가요?
저는 요즘 출 퇴근길 버스를 타고 다니다보니
휴대폰을 할때 다른사람이 제 폰화면을
볼까봐 신경이 좀 쓰이더라구요!!
그래서 이번에 베이식스 아이폰 사생활 보호필름
쉽게 부착해서 360도 사생활 보호로
안심하고 버스나 공공장소에서도
편하게 휴대폰을 볼 수 있답니다!👍
📦 개봉 &amp; 구성
패키지는 심플하면서도 구성품이 알차게
들어 있더라구요! 필름 본품 2매,
먼지 제거 스티커와 알코올 솜 그리고
극세사 천이 함께 들어 있는 Tool Kit 2개가
있어서 사생활 보호필름 부착시
별도 준비물이 필요 없더라구요!
먼저 베이식스 아이폰 사생활 보호필름
부착 전 제 휴대폰 화면이에요!!
측면에서도 화면이 너무 잘 보이다 보니까
버스타고 다닐때 카톡하기에도 그렇고
인터넷 검색하기에도 조금 불편하더라구요!!
평소에 아이폰 사생활 보호필름 부착하기
어려웠는데 베이식스 제로미스 제품은
쉽게 부착할 수 있도록 틀이 함께 들어있어
쉽게 맞춰서 그냥 잡아당기기만 하면
누구나 쉽게 사생활 보호필름 부착 하실 수 있어요!
✅ 왜 베이식스 사생활 보호필름인가?
제가 베이식스 아이폰 사생활 보호필름 제품을
사용한 이유는 사생활 보호 기능도 있으면서
강화유리라서 휴대폰 화면을 스크래치나
충격으로부터 보호 할 수 있어서 너무 좋더라구요!
Top부분을 휴대폰 전면 카메라 쪽에
맞춰서 끼워 넣은 후 아래의 필름을
화살표 방향으로 당겨주기만 하면
사생활 보호필름 붙이기 끝!!!
Tool kit도 보호필름 갯수에 맞게
2개가 오니까 교체 할때마다
액정을 깨끗하게 닦아준 후 먼지 한톨까지
확실하게 제거해서 붙일 수 있더라구요!
🧩 부착 방법 (쉬운 설치 팁)
1️⃣ 화면 닦기 – 동봉된 알코올 솜으로 디스플레이 먼지와 유분을 깨끗하게 닦아준 후 극세사 천으로
알코올까지 깨끗하게 닦아줍니다!
2️⃣ 먼지 제거 – 스티커로 미세먼지를 톡톡 제거하면 훨씬 깔끔하게 부착 하실 수 있어요!
3️⃣ 필름 정렬 – 카메라 위치 기준으로 맞춘 뒤,
중앙을 살짝 눌러 부착해줍니다!
4️⃣ 기포 제거 – 부착 후에는 천으로 살살 밀어주면
기포가 금방 빠지더라구요!
베이식스 제로미스 360도 사생활 보호필름
부착 후 찍은 사진인데 확실히 측면에서는
아무것도 보이지 않죠?! 그리고 위쪽이나
아래쪽에서 볼때도 안보이기 때문에
공공장소나 버스, 지하철에서도
휴대폰 화면을 나만 볼 수 있답니다!!
완벽하게 사생활 보호 해주는 필름이었어요!!
제로미스 360도 사생활보호필름 실패없이 붙히는 휴대폰 액정보호필름2P 아이폰17 프로, 2매입 : 베이식스
[베이식스] Always new and better
m.smartstore.naver.com
🔍 사용하면서 느낀 장점
✔️ 공공장소에서 혹시 내 화면이 보여질까?
하는 걱정이 확실히 줄어서 옆자리에 사람이
앉아 있어도 내가 보고 있는 화면 내용이
잘 보이지 않아서 훨씬 안심되더라구요!
✔️ 설치도 크게 어렵지 않았어요!
먼지 하나 들어가면 거슬리니까
알코올 솜이나 먼지제거 스티커가 함께
제공되는 구성이라 편리하더라구요!
✔️ 터치감이나 화면 선명도도
크게 손해보는 느낌이 들지 않아서
일상 사용에 부담이 없었어요!
제로미스 아이폰 사생활 보호필름 부착 후
이제는 편하게 공공장소에서도
휴대폰으로 영상이나 카톡 안심하고 해보세요!!
#아이폰사생활보호필름 #제로미스
#베이식스 #사생활보호필름</t>
  </si>
  <si>
    <t>#아이폰사생활보호필름, #제로미스, #베이식스, #사생활보호필름</t>
  </si>
  <si>
    <t>https://storep-phinf.pstatic.net/ogq_5a5ff364e96bc/original_3.png?type=p100_100|||https://storep-phinf.pstatic.net/ogq_627596711910b/original_1.png?type=p100_100|||https://postfiles.pstatic.net/MjAyNTEwMzFfODMg/MDAxNzYxOTE5Mzg5MjA5.ULhRpKHLubNyPQc3Xpr_WbWTdzqJD-73wOR4_VVX4P4g.7ZxFRs5ux0uGSXotrj0bvE7hhB3FpAZvdVnoFnKA84Eg.JPEG/IMG%EF%BC%BF7585.JPG?type=w80_blur|||https://postfiles.pstatic.net/MjAyNTEwMzFfMjEw/MDAxNzYxOTE5Mzg3NzM0.h8su1ciF6-V6OQoVQIMuIK8cMETXj9csz2QTwGbgxsIg.dXeJw8qNUO_AmvDZYXoiiyv569Gb-3OUSmYc2hr7wu8g.JPEG/IMG%EF%BC%BF7577.jpg?type=w80_blur|||https://postfiles.pstatic.net/MjAyNTEwMzFfMjUz/MDAxNzYxOTE5Mzg4MzE5.FTgE4fTzY0cC1GL0GyVGfxBZpgdyoLapPZa8O7aQgcgg.5l48nJvimcX_ixKQU6jJpH5qme0ZVqvZBa0ZBXzXpbwg.JPEG/IMG%EF%BC%BF7578.jpg?type=w80_blur|||https://postfiles.pstatic.net/MjAyNTEwMzFfMjE4/MDAxNzYxOTE5Mzg5ODMw.jw6b3KASIltPxNG-bghQfg4pkSwx1jEbMTegU0HjXSQg.Yzl-1paTHERXTsDnkvLSSje8A1MFHIabDTYjLuFMNzMg.JPEG/IMG%EF%BC%BF7581.jpg?type=w80_blur|||https://postfiles.pstatic.net/MjAyNTEwMzFfMjY5/MDAxNzYxOTE5Mzg5ODMz.v4oDCWszY5oLgvP4jCDLG0YHEDIBeDr4PbSHX8K0QU8g.ao-ZEZA-9RGbP_LlMGmv06FJyR8WabTJ-JJ2Ue5h9t4g.JPEG/IMG%EF%BC%BF7579.jpg?type=w80_blur|||https://postfiles.pstatic.net/MjAyNTEwMzFfNzEg/MDAxNzYxOTE5Mzg4Njg4.wzmXGAWBQQiD1XZvlxd9VKXmcbVyj2bGuNM9oX87Hugg.5JPYMgF4UUDV7mQvl2ikd8aOey3qjTXLv4xlmWbJvH4g.JPEG/IMG%EF%BC%BF7584.JPG?type=w80_blur|||https://postfiles.pstatic.net/MjAyNTEwMzFfMTcg/MDAxNzYxOTE5Mzg5MDk5.Gq3iw1nbKNtKLnMzQJrHKsxjQOBKpzh7B9r3-NIiIw4g.sQ7j86jYOkMnQLCG6Tbp5kk0ag4fFG4zjM2OpIP_2-8g.JPEG/IMG%EF%BC%BF7583.JPG?type=w80_blur|||https://postfiles.pstatic.net/MjAyNTEwMzFfMjQ0/MDAxNzYxOTE5Mzg5OTcw.12x768NSYuTw2yefAd9BYrKdtVqnfrxF5viz5_xkd-cg.CqQVMN_4fq6UbdLUGrpfSCTihIvkWaDwvnoug7mSNb0g.JPEG/IMG%EF%BC%BF7580.jpg?type=w80_blur|||https://postfiles.pstatic.net/MjAyNTEwMzFfMTk2/MDAxNzYxOTE5Mzg3NzMy.bU9FjgwXb6AET69b6PGim0s_jTf5x-8W25AUYOGOlHog.RnNxFirgede8TJB4InIWia-RbWwXP3bxjdlMp7XEmOkg.JPEG/IMG%EF%BC%BF7586.JPG?type=w80_blur|||https://dthumb-phinf.pstatic.net/?src=%22https%3A%2F%2Fshop-phinf.pstatic.net%2F20250827_72%2F1756270559961DwCen_JPEG%2F90403376099819929_42801919.jpg%3Ftype%3Do1000%22&amp;type=ff500_300</t>
  </si>
  <si>
    <t>https://mblogvideo-phinf.pstatic.net/MjAyNTEwMzFfNTUg/MDAxNzYxOTE5Mzg4MTcz.e78YrTRo7Onmc4jbpkWvGV9rpr-Texo-jq2kcHYB2w0g.7qtFQFnTtKVxIzB_zrMPXfjcQyaIkKZgG75ubb4pPxUg.GIF/877075821.gif?type=mp4w800|||https://mblogvideo-phinf.pstatic.net/MjAyNTEwMzFfMiAg/MDAxNzYxOTE5Mzg5ODY5.8IL0HQbFPUe5B4Arnj-gKbvzwZ8ZBEgH_Awg3mnfjgQg.9EhiCmJpNXWC-UBQEF9NqoqN39imHiIrrL3zkqQCVsgg.GIF/3329149995.gif?type=mp4w800|||https://mblogvideo-phinf.pstatic.net/MjAyNTEwMzFfNTMg/MDAxNzYxOTE5Mzg5MTg0.8EcpakO7lNPhxlsETqHFOsx6bHdXTWn_abPyPs-HInEg._MprdwIO1TjfxG2JpqDmC1fNYrUVFU26K2Kw3kIAfl4g.GIF/2184333320.gif?type=mp4w800|||https://mblogvideo-phinf.pstatic.net/MjAyNTEwMzFfMjg1/MDAxNzYxOTE5Mzg4NTYx.Eb2dQkFUbs4uzHQDGgnI5eakUe_QiPJpn-s59mZp2U4g.l4-5mWUdq4r6q9Frzu-UMvqDY-junrjVjK2SmY1rvU8g.GIF/3527766380.gif?type=mp4w800|||https://mblogvideo-phinf.pstatic.net/MjAyNTEwMzFfMTY0/MDAxNzYxOTE5Mzg5MzA2.YV7lTABa_F7U4oKP4o5R-jgsiFcI8HgB8MVkdU7Lrakg.OE2SZ652gasD5P-bslppj45r0Rr2FARp_dI2mYd6Vh8g.GIF/2207340400.gif?type=mp4w800|||https://mblogvideo-phinf.pstatic.net/MjAyNTEwMzFfMTQ0/MDAxNzYxOTE5Mzg5Mjgx.ZvgYzJ96DKL0l4wQwofAg_ryCljGP2vAySPeLPgEFkog.BPVXXaxTAoqWyFNQ9sObExq2tOEyQNYzDOC1N3rJylgg.GIF/435510665.gif?type=mp4w800|||https://mblogvideo-phinf.pstatic.net/MjAyNTEwMzFfMjQy/MDAxNzYxOTE5Mzg4OTM5.g_GxnJDWEJ7BHLGASbqBbxpJU7XWnBi3sZG1Qs5bdQ8g.atiogSj3YDnkZiQ_c-VhI1jyI1xYneq6qhZL_aQvljEg.GIF/640008528.gif?type=mp4w800|||https://mblogvideo-phinf.pstatic.net/MjAyNTEwMzFfMjQ3/MDAxNzYxOTE5Mzg5OTM1.XnSw-0R4L_bkBsGnb6OwPMWrn-h0PHN-QoYXH6v_3l8g.cJLDvrC15G9MzK99twyuJcloht55dNaXk3aZPUY4rt8g.GIF/207232594.gif?type=mp4w800|||https://mblogvideo-phinf.pstatic.net/MjAyNTEwMzFfMjky/MDAxNzYxOTE5MzkwMDY2.xQZUm7T5GBZENphVkK0QUsSoHzCdHOpGjEkDIs1tTjsg.BMrkVakULRw4iGPTcDe16zZDNEQzPGVUxB0wzW_BPhUg.GIF/4135867137.gif?type=mp4w800</t>
  </si>
  <si>
    <t>후쿠오카 하카타역 근처 숙소 추천 TOP10 .. : 네이버블로그</t>
  </si>
  <si>
    <t xml:space="preserve">하카타역을 베이스로 2–4박 여행을 계획한다면, 역 바로 앞 동선/온천·대욕장/디자인 감성/쇼핑... 더 베이식스 / 미야코 호텔 하카타역 기준 “도보 1–5분”이면 환승·수하물 이동이 압도적으로 편합니다.... </t>
  </si>
  <si>
    <t>blog.naver.com/enjoyandhappy_</t>
  </si>
  <si>
    <t>https://blog.naver.com/enjoyandhappy_/224057406574</t>
  </si>
  <si>
    <t>enjoyandhappy_</t>
  </si>
  <si>
    <t>여기서 정말 고민 했던게 텐진역 근처로 잡을지
하카타역 근처로 잡을지...고민했는데
결론은 담엔 텐진역으로 잡을꺼다 라는거
이유? 투어할때 -&gt; 하카타역 근처면 좋은데 보통 2일차에 투어를 많이 하니깐 괜찮고요
1,3일차에 수조관 가거나 다른 도시 가려면 텐진이 좀 더 유리한 느낌이에요
후쿠오카 하카타역 근처 숙소 추천 TOP10
요약: 하카타역을 베이스로 2–4박 여행을 계획한다면,
역 바로 앞 동선/온천·대욕장/디자인 감성/쇼핑·야식 중심 동선 중
무엇을 최우선으로 둘지가 숙소 선택의 핵심입니다.
아래는 제가 실제로 머문 더 로얄 파크 호텔 후쿠오카를 포함해,
후보로 끝까지 비교했던
하카타역권 숙소 10곳을 위치·특징·장단점·추천 유형으로 깔끔하게 정리한 포스팅입니다.
빠르게 보기 !!
역 바로 앞 최우선: 오리엔탈 호텔 / 미야코 호텔 / 호텔 닛코 후쿠오카
스파·대욕장/루프톱 풀: 미야코 호텔(온천·루프탑) / 더 블라썸(대욕장) / 니시테츠 호텔 크룸(대욕장)
쇼핑·야식(나카스·캐널시티) 동선: 그랜드 하얏트(캐널시티 직결) / 더 로얄 파크 캔버스(나카스)
디자인 감성 &amp; 비교적 넓은 객실: 더 베이식스 / 미야코 호텔
하카타역 기준 “도보 1–5분”이면 환승·수하물 이동이 압도적으로 편합니다.
대신 객실 사이즈·뷰·정숙성은 살짝 양보해야 할 수도 있어요.
제가 묶어던 더 로얄 파크 호텔 - 개인적으로 만족하긴 했는데...
1. 더 로얄 파크 호텔 후쿠오카 (The Royal Park Hotel Fukuoka)
한줄평: 역·캐널시티 도보권, 전반적 밸런스가 좋은 ‘만능형’.
위치/이동: 하카타역 도보 약 5분대, 캐널시티·나카스 도보권
이런 분께: ‘무난하지만 실패 없는’ 선택을 원하는 커플·가족
장점: 균형 잡힌 가격·입지·컨디션, 조식·라운지 평이 꾸준히 좋음
유의점: 피크 시즌 체크인/조식 대기 가능, 객실 뷰는 운 요소
후기 키워드: 밸런스, 조식만족, 조용, 재방문
무난 그 잡채였던 호텔 후쿠오카 ... 깔끔하고 괜찮았는데 특별한 장점 ? 단점?을 못느꼈어요..
담엔 다른 곳 방문할거같아요
2. 호텔 닛코 후쿠오카 (Hotel Nikko Fukuoka)
한줄평: 연식은 있으나 관리가 잘 된 풀서비스 체인.
위치/이동: 하카타역 도보 3분 안팎, 공항 지하철 1본
이런 분께: 클래식 서비스·다이닝 안정성을 중시
장점: 직원 응대 호평, 식음(조식/일식/중식) 선택지 넉넉
유의점: 일부 객실·설비에서 연식감 언급
후기 키워드: 친절, 클래식, 안정감, 다이닝
* 닛코 오사카때 닛코 호텔의 깔끔하고 좋은점을 너무 알아버렸달까요?...
갠적으로 닛코 계열사는 일본에서 어딜가나 깔끔하고 평타 이상은 하는것 같더라구요
3. 오리엔탈 호텔 후쿠오카 하카타 스테이션
한줄평: ‘역 앞 최강’ 접근성, 깔끔·모던한 감성.
위치/이동: 하카타역 치쿠시(동)출구 도보 1분 수준
이런 분께: 새벽/늦밤 비행, 기차 환승이 잦은 일정
장점: 역 바로 앞, 신선한 컨디션, 심플하지만 효율적 동선
유의점: 객실이 전반적으로 컴팩트, 조용한 뷰 기대는 어려움
후기 키워드: 초역세권, 깔끔, 합리적
투어 할때 봤는데 깔끔하고 크고 역 바로 앞에 있기 때문에 집합 장소로 굳 !
하카타역 주변에 쇼핑하거나 이 주변에서 할거 많으면 여기가 젤 최고인듯해요
4. 더 블라썸 하카타 프리미어 (THE BLOSSOM HAKATA Premier)
한줄평: 대욕장·피트니스까지 갖춘 ‘조용하고 쾌적한 7분’.
위치/이동: 하카타역 도보 7분, 쿠시다신사역 2분
이런 분께: 역 앞 혼잡을 피하고 객실·시설 컨디션을 중시
장점: 대욕장·헬스, 차분한 인테리어, 침구 평 좋음
유의점: 아주 가까운 역앞 선호자라면 거리 체감
후기 키워드: 차분, 대욕장, 쾌적, 숙면
5. 니시테츠 호텔 크룸 하카타 / (하카타 기온·쿠시다신사)
한줄평: 합리적 가격에 대욕장까지, 실속형 대표주자.
위치/이동: (하카타) 도보 ~5분대 / (기온) 2023 오픈, 지하철 인접
이런 분께: 가성비·대욕장·깔끔을 모두 원하는 분
장점: 대욕장 호평, 새 건물(기온점) 컨디션에 만족도 높음
유의점: 객실 사이즈는 비즈니스급(컴팩트)
후기 키워드: 가성비, 대욕장, 신축감
6. 더 베이식스 후쿠오카 (THE BASICS FUKUOKA)
한줄평: 라이브러리 라운지의 감성, 여유로운 객실.
위치/이동: 하카타역 도보 약 7–10분
이런 분께: 감성 호텔·여유 공간을 찾는 커플/1–2인 여행
장점: 디자인·공용공간, 객실 면적 대비 가성비
유의점: 역 앞 절대입지 선호자에겐 살짝 거리
후기 키워드: 디자인, 넓은객실, 포토스팟
여기도 후보 중 한개 였는데 ... 괜찮아보이더라고요
7. 더 로얄 파크 캔버스 후쿠오카 나카스
한줄평: 나카스 야타이·야경을 즐기기 좋은 신상 감성.
위치/이동: 나카스카와바타역 도보 2분, 하카타역 1정거장
이런 분께: 먹거리·야경·바를 중심으로 야간 동선이 많은 일정
장점: 공용 라운지·바 감성, 나카스 먹거리 천국에 위치
유의점: 하카타역 바로 앞은 아님(지하철 이동 전제)
후기 키워드: 야타이, 라운지, 감성, 나이트라이프
8. 그랜드 하얏트 후쿠오카 (Grand Hyatt Fukuoka)
한줄평: 캐널시티 직결, 럭셔리 스테이 &amp; 쇼핑의 황금 조합.
위치/이동: 캐널시티 직결, 하카타역·텐진 중간 지점
이런 분께: 고급 다이닝·쇼핑·관광을 한 번에 누리고 싶은 분
장점: 서비스 레벨·식음 시설, 쇼핑·관광 동선 최적화
유의점: 역 바로 앞 선호자에겐 도보 이동 체감
후기 키워드: 럭셔리, 캐널시티, 다이닝
캐널시티 바로 앞에 진짜 있습니다... 근데 호텔 자체가 좀 럭셔리 그 자체긴했어요..~
9. 미야코 호텔 하카타 (Miyako Hotel Hakata)
한줄평: 하카타역 ‘직결’에 온천 스파·루프톱 풀까지.
위치/이동: 하카타역 치쿠시 출구와 연결, 공항 접근 최상
이런 분께: 체크인 전후 스파로 피로를 확 풀고 싶은 분
장점: 온천 스파·루프톱 풀, 비교적 넉넉한 객실 면적
유의점: 성수기 스파/풀 혼잡, 요금 급등 구간 있음
후기 키워드: 온천, 루프탑, 힐링, 역직결
10. 호텔 뉴 오타니 하카타 (Hotel New Otani Hakata)
한줄평: 와타나베도리(텐진 방향)의 클래식 풀서비스.
위치/이동: 하카타역에서 지하철 1정거장 수준, 텐진 접근 용이
이런 분께: 연회·다이닝·조용한 클래식 무드를 선호
장점: 품격있는 서비스·식음, 비교적 한적한 주변
유의점: 하카타역 바로앞 동선은 아님
후기 키워드: 클래식, 정갈, 한적, 연회
예약 팁 &amp; 체크리스트
체크인/체크아웃 시간: 새벽·늦밤 비행이면 ‘역앞’ 또는 ‘24h 프런트’ 우선.
조식 전략: 피크 시즌 대기 피하려면 오픈 시간대 or 근처 베이커리(트란도르 등)로 대체.
객실 타입: 일본 비즈니스급은 15–18㎡가 일반적. 20㎡+면 넓은 편.
온천·대욕장: 수영복/타올 규정·운영시간, 성별 교체제 여부 체크.
교통패스: 공항–하카타–텐진 중심 이동이면 지하철 1일권/IC카드 편리.
“하카타역 바로 앞이 정말 필요할까?”
수하물이 크거나 환승·비행 시간이 애매하다면 체감 차이가 큽니다. 일정이 여유롭고 조용함을 원하면 5–10분권도 만족도가 높습니다.
“대욕장/스파가 있는 곳이 좋은데, 가성비는?”
니시테츠 호텔 크룸(하카타/기온)과 더 블라썸이 대욕장 만족도가 높고, 미야코는 스파·루프톱으로 힐링 특화.</t>
  </si>
  <si>
    <t>https://postfiles.pstatic.net/MjAyNTEwMjlfMjUw/MDAxNzYxNzAwNDk1MTQ5.Iqa7IVTQ31Q6xsGTfC4tpj2ooQ-rqjpQnOHS-N-FaJkg.1yxLIDJlPF4oomGxBXqtp4MGY46PTXyCoHmKliBgkawg.PNG/SE-9159b713-7260-45f8-8831-5340d6e657a1.png?type=w80_blur</t>
  </si>
  <si>
    <t>유형으로</t>
  </si>
  <si>
    <t>베이식스 C타입 멀티 허브로 확장되는 가능성 : 네이버 블로그</t>
  </si>
  <si>
    <t xml:space="preserve">설계된 베이식스 C타입 멀티 허브는 HDMI 포트를 포함해 4개의 연결 포트를 제공해, 여러 기기를 쉽게 연결할 수 있는 솔루션을 제시해요. 다양한 연결 옵션으로 유연한 활용도를 제공 베이식스 C타입 멀티... </t>
  </si>
  <si>
    <t>blog.naver.com/lp6gbyb8qt2</t>
  </si>
  <si>
    <t>https://blog.naver.com/lp6gbyb8qt2/224055021188</t>
  </si>
  <si>
    <t>lp6gbyb8qt2</t>
  </si>
  <si>
    <t>USB30허브 멀티허브 C타입 4포트 : 에디토의 선택
HDMI허브 멀티허브 USBC타입 맥북에어프로
naver.me
↑구매바로가기↑
현대의 디지털 환경에서는 정말 다양한 기기를
동시에 연결하고 활용하는 게 필수적이죠.
특히 노트북, 스마트폰, 태블릿 등 여러
장치에서 발생하는 복잡한 케이블 문제를 해결할
제품은 반드시 필요하다고 생각해요.
이런 요구를 충족시키기 위해 설계된 베이식스
C타입 멀티 허브는 HDMI 포트를 포함해
4개의 연결 포트를 제공해, 여러 기기를 쉽게
연결할 수 있는 솔루션을 제시해요.
다양한 연결 옵션으로 유연한 활용도를 제공
베이식스 C타입 멀티 허브는 USBC 포트,
USBA 포트, HDMI 포트 및 SD 카드
슬롯을 갖추고 있어, 정말 다양한 기기와의
연결을 지원해요.
출처-쇼핑커넥트이미지
USBC 포트를 통해 최신 노트북이나
스마트폰과의 호환이 가능하니까, 최신 기기를
쓰는 사람들이 더욱 편리하겠죠.
그리고 USBA 포트는 구형 기기와의 연계를
도와주니, 예전 모델을 사용하는 분들에게도
유용할 것 같아요.
HDMI 포트를 활용하면 대형 화면으로
콘텐츠를 쉽게 전송할 수 있어,
프레젠테이션이나 영화 감상 시 정말
유용하답니다.
저도 이런 점이 너무 매력적이에요.
SD 카드 슬롯은 사진이나 영상을 신속하게
전송하고 저장할 수 있는 기능을 제공하니,
특히 콘텐츠 제작자들에게는 굉장히 유용하겠죠.
이런 연결 옵션들은 전문가, 학생, 콘텐츠
제작자에게 매우 유용해요.
예를 들어, 유튜브 같은 플랫폼에서 콘텐츠를
제작할 때 카메라 촬영 후 SD 카드를 통해
편집 장비로 직접 전송할 수 있으니, 시간과
노력을 많이 절약할 수 있을 것 같아요.
여러 기기를 간편하게 연결함으로써 작업의
효율성도 높아질 수 있겠죠.
4K 해상도로 고품질 영상 출력
베이식스 C타입 멀티 허브는 4K 해상도를
지원해, 고화질 영상을 선명하게 출력할 수
있는 기능도 있어요.
출처-쇼핑커넥트이미지
이를 통해 영화를 감상하거나 게임을 즐길 때,
정말 생생한 그래픽으로 경험할 수 있겠죠.
특히 HDMI 포트를 통해 모니터나 TV와
연결하면 그 효과는 더욱 극대화된답니다.
이런 기술적 특징은 단순히 영상 전송을 넘어
사용자에게 몰입감 있는 경험을 제공해요.
저처럼 게임을 좋아하는 사용자라면, 멀티
허브를 이용해 큰 화면에서 게임을 즐기는
기쁨을 만끽할 수 있겠죠.
또한, 유튜버라면 고화질로 촬영된 영상을
편집하고 스트리밍할 수 있는 최적의 환경이
조성될 거예요.
베이식스 C타입 멀티 허브로 확장되는 가능성
재생
0
좋아요
0
00:06
베이식스 C타입 멀티 허브로 확장되는 가능성
각종 기기를 위한 안정적인 전송 속도
베이식스 C타입 멀티 허브는 빠른 데이터 전송
속도를 제공해, 여러 기기를 동시에 사용할
때도 안정적인 연결을 유지해요.
이렇게 빠른 데이터 전송은 파일 전송 시 지연
없이 작업을 진행할 수 있게 해준답니다.
특히 데이터 전송이 많아지는 콘텐츠 제작이나
대량의 파일을 다루는 작업을 하는 사용자에게는
정말 필수적인 기능이 될 것 같아요.
이 멀티 허브 하나로 다양한 편리한 기능을
이용할 수 있으니, 복잡한 기기 설정이나
케이블 연결 문제를 간소화할 수 있어서 저도
정말 좋다고 생각해요.
베이식스 C타입 멀티 허브는 이렇게 다양하고
실용적인 연결 옵션으로 현대인의 여러 필요를
충족시키는 제품이에요.
이러한 기능과 장점들은 우리 일상 속에서 많은
기회를 창출해 줄 거라고 믿어요.
최첨단 기술로 무장한 이 멀티 허브와 함께 더
스마트한 생활을 즐길 수 있을 것 같아요.
USB30허브 멀티허브 C타입 4포트 : 에디토의 선택
HDMI허브 멀티허브 USBC타입 맥북에어프로
naver.me
↑↑상세정보확인하기↑↑</t>
  </si>
  <si>
    <t>https://blogfiles.pstatic.net/MjAyNTEwMjdfMzAg/MDAxNzYxNTI4OTgxOTE3.NoiyFMi3tTY9Z1DZnjeNSycU-4ApXSvTcdtDx5tSEKYg.yUg_xCiMTgI06pfo00c6c_xzahR1YKTMkph3D--GlCUg.PNG/01.png?type=w1|||https://dthumb-phinf.pstatic.net/?src=%22https%3A%2F%2Fshop-phinf.pstatic.net%2F20201229_6%2F1609244944496V0FXR_JPEG%2F10380724205363091_845553379.jpg%3Ftype%3Do1000%22&amp;type=ff500_300|||https://storep-phinf.pstatic.net/motion2d_01/original_11.png?type=p100_100|||https://dthumb-phinf.pstatic.net/?src=%22https%3A%2F%2Fshop-phinf.pstatic.net%2F20201229_6%2F1609244944496V0FXR_JPEG%2F10380724205363091_845553379.jpg%3Ftype%3Do1000%22&amp;type=ff500_300</t>
  </si>
  <si>
    <t>https://mblogvideo-phinf.pstatic.net/MjAyNTEwMjdfOCAg/MDAxNzYxNTI5MTk3MjM2.wDzgmr8aWGyUCAVhSIfElaNUoLQ-pzoghl3Ehg6wU64g.xn2nDPrlZUm2MbDDS4MrWlhWnemw2UTppNaoWDVTzKkg.GIF/02.gif?type=mp4w800|||https://mblogvideo-phinf.pstatic.net/MjAyNTEwMjdfMTcy/MDAxNzYxNTI5Mzc3ODM2.6MHo9N_4iGcFkLRzdBuMeJ06Fyc33qEaEU-4-fQjjrUg.9S_AKtc1DHaz7FVpyE6LDhZPcbspR5buz2jofzAmFWkg.GIF/03.gif?type=mp4w800</t>
  </si>
  <si>
    <t>갤럭시탭 무선 마우스 연결하는 방법 | 베이식.. : 네이버블로그</t>
  </si>
  <si>
    <t xml:space="preserve">베이식스 C Type to USB 3.0 변환 OTG 젠더 A30 2P 원래는 다이소에서 연결할 수 있는 젠더를 구해보려고 했는데 근처에 있는 다이소에는 아예 단종되어서 구할 수 없어 쿠팡에서 구했어요. 원가는 7800원인데... </t>
  </si>
  <si>
    <t>blog.naver.com/hyunttlog</t>
  </si>
  <si>
    <t>https://blog.naver.com/hyunttlog/224048644671</t>
  </si>
  <si>
    <t>hyunttlog</t>
  </si>
  <si>
    <t>안녕하세요 현티입니다.
최근에 태블릿PC를 사용할 일이 많아서 블루투스 마우스를 구매했었는데요. 근데 태블릿에 맞지가 않아 급하게 연결을 도와주는 OTG 젠더를 구매하게 되어 여러분들께 소개해 보려고 합니다.
베이식스 C Type to USB
3.0 변환 OTG 젠더 A30 2P
원래는 다이소에서 연결할 수 있는 젠더를 구해보려고 했는데 근처에 있는 다이소에는 아예 단종되어서 구할 수 없어 쿠팡에서 구했어요.
원가는 7800원인데 할인받아서 2800원에 구했어요.
제품을 개봉하게 되면은 젠더가 포장된 2팩을 주고
젠더는 메탈 블랙 색상에 C 타임을 호환하는 젠더여서
갤럭시탭 같은 태블릿 PC에 사용이 가능합니다.
연결 가능한 기기: 키보드, 마우스, USB, 하드디스크, 게임 컨트롤러 등
OTG 젠더를 태블릿에 연결한 모습인데요.
돌출 단자 구조로 스마트폰 케이스에 직접적인 간섭이 없어서
사용하기 되게 편했어요.
OTG 젠더에 블루투스 마우스 수신기를 장착도 해보았는데요.
젠더 규격에 잘 맞았어요. 마우스는 다이소에 있는 맥스틸 블루투스 마우스이에요.
연결되니까 기존에는 없던 마우스 포인터도 생겨나고 정상적으로 잘 작동되었어요. 또한 최대 5Gbps의 데이터 전송 지원으로 마우스 쓰다가 답답할 일도 없고 2 in 1도 같이 지원되어서 한 기기에 2개의 연결도 지원해 주는 기능도 탑재되어 있어요.
기존에 태블릿은 아무 기기 없이 사용하다 보니까 손도 아프고 불편하기만 했었는데요. 키보드와 OTG 젠더를 이용한 마우스 연결을 하니까 오히려 태블릿 PC의 이점을 제대로 경험해 보는 거 같고 태블릿 PC도 PC처럼 이용할 수 있어서 좋았어요.
이상 포스팅 마칩니다. 감사합니다!
같이 보면 좋은 게시물
오아 접이식 블루투스 키보드 OA-KB100BK 내돈내산 솔직후기
안녕하세요 현티입니다. 오늘은 예전에 샀던 블루투스 키보드가 오래돼서 새로운 블루투스 키보드를 써보고...
m.blog.naver.com
포스팅에 나왔던 블루투스 키보드 제품이 궁금하신 분은
이 포스팅 글을 참고해 주세요!</t>
  </si>
  <si>
    <t>https://postfiles.pstatic.net/MjAyNTEwMjFfMjgx/MDAxNzYxMDIyNDg1Nzcx.ATQNe84nq7zGvu6DreP77qH4L19MU5HeIJ8AEEwzWhUg.3qLGdQMrdNfI8UdUO98KLvX0a9O7Y73uQf_ElKm5YfQg.JPEG/900%EF%BC%BF1761022484415.jpg?type=w80_blur|||https://postfiles.pstatic.net/MjAyNTEwMjFfMTcx/MDAxNzYxMDIyNDg2Njg5.-ODdNDTPOTX3MYviSd1CI-U_meO-AMIazA6Ui-aVnacg.oPysQHRAF0DxTP98r0lDS45Ywo2JgiIxgNjSbeEs4dMg.JPEG/900%EF%BC%BF1761022484581.jpg?type=w80_blur|||https://postfiles.pstatic.net/MjAyNTEwMjFfMTI5/MDAxNzYxMDIyNzEwMTM5.-LINFcAoJWMdjRAXa_C8pRzP9cqv7DMQp-CzT3TtDcUg.yCIz8EmJuHLd0eMhRMnCH1C7eQxDd97VjSWb5ZAeDpsg.JPEG/900%EF%BC%BF1761022280080.jpg?type=w80_blur|||https://postfiles.pstatic.net/MjAyNTEwMjFfNzYg/MDAxNzYxMDIyNzYyNjk0.SwmFNRsSchG3sc_UwZGg79GH9hkzJ1oyl7rbKKf6_skg.mLLUgzA33l5cgTh47Z9DvzCV30sdbcd5WjVlKrwUqrkg.JPEG/900%EF%BC%BF1761022280178.jpg?type=w80_blur|||https://postfiles.pstatic.net/MjAyNTEwMjFfMyAg/MDAxNzYxMDIyODgyNzAw.uawQT39Bd8dZAkUpCyR6bBjVGgj43uFXtvvv6i1H_wAg.gRA5SmPR30BaEUoS52C1gnibU2qnPAL6B24K8FfvJMEg.JPEG/900%EF%BC%BF1761022280313.jpg?type=w80_blur|||https://postfiles.pstatic.net/MjAyNTEwMjFfMzAg/MDAxNzYxMDIyODgzNjAy.pblt__F3uKngvZubFDYIJAj4Hd320dUQDJyVpzwG2vwg.fpBOqeYvAK7Jf9Rt9rOVeJZv8P78skAQYPEIscBdvtYg.JPEG/900%EF%BC%BF1761022280375.jpg?type=w80_blur|||https://postfiles.pstatic.net/MjAyNTEwMjFfODYg/MDAxNzYxMDIzMTEzNzYw.fLXY85QEXnQm0Jr-wUZcgQWOYkQfpyv9o8HbN7M0yfQg.KMOjvZFV4KYFJc4yQN84YAYt7HdiAo5X-I6WtjpWJ1Ig.JPEG/900%EF%BC%BF1761022280434.jpg?type=w80_blur|||https://storep-phinf.pstatic.net/motion3d_02/original_21.gif?type=pa50_50|||https://dthumb-phinf.pstatic.net/?src=%22https%3A%2F%2Fblogthumb.pstatic.net%2FMjAyNTEwMDJfMTQ5%2FMDAxNzU5MzMxMTU2ODgx.4Mz0QMblvv3KRpFb9te1I0kHGqSUcNYs4ucwgyhgC4sg.3VkXSNQQvaFWDJ4CCqfuaZS6C7PNgPgpKQjjvxJ375wg.JPEG%2FKakaoTalk_20251001_235851919_01.jpg%3Ftype%3Dw2%22&amp;type=ff500_300</t>
  </si>
  <si>
    <t>https://mblogvideo-phinf.pstatic.net/MjAyNTEwMjFfMTU2/MDAxNzYxMDIzMzUxMzU3.45IgDpGf15MSzH7cfWwPLag2jy-ouCMAa2sz4shuH0Ig.feNYSr3sFYDmJMRz80BATQO7nrXbdBXjFUR7jxo54EEg.GIF/se%EF%BC%BFone%EF%BC%BFani%EF%BC%BF20251021%EF%BC%BF140903%EF%BC%BFa.gif?type=mp4w800</t>
  </si>
  <si>
    <t>발리 신혼여행, 허니문 여행사가 말하는 오해와.. : 네이버블로그</t>
  </si>
  <si>
    <t xml:space="preserve">싶을 수 있어요 다만 신부님들은 사진도 찍고 인스타에 올리고 싶어 하시기 때문에 추가 비용을 내고하실 수도 있습니다 포시즌스 짐바란 베이, 식스센스 울루와뚜 등은 플로팅 조식이 포함된 프로모션이... </t>
  </si>
  <si>
    <t>blog.naver.com/hmresort</t>
  </si>
  <si>
    <t>https://blog.naver.com/hmresort/224047580884</t>
  </si>
  <si>
    <t>hmresort</t>
  </si>
  <si>
    <t>안녕하세요
1:1 신혼여행 전문 여행사
허니문리조트입니다
요즘 발리 신혼여행을
찾는 분들이 많은데요
오늘은 아래 영상을 토대로
발리 신혼여행 질문에 대한
답변 리뷰를 해드리겠습니다 ‼️
▼허니문리조트 영업부의
발리 신혼여행 질의응답▼
Q1. 자유여행이 더 저렴하다?
발리 신혼여행은 자유여행이 더 저렴하다고
생각하시는 분들이 정말 많아요
하지만 사실은 꼭 그렇지만은 않아요!
자유여행으로 가면 항공부터
숙소 투어 차량 이동 식사 예약까지
전부 직접 알아보고
예약해야 합니다
이게 생각보다 시간도 많이 들고
현지 사설 업체를 이용할 경우에는
보험이 안 되어 있는 경우도 많아요
만약 투어 도중 사고라도 나면
보상을 받지 못할 수도 있어서
정말 조심해야 해요
허니문리조트는 여러 리조트와
제휴된 프로모션 특가를 가지고 있어서
나중에 혜택까지 합산해 보면
오히려 여행사 패키지가
더 저렴하게 나오는 경우도 많아요
특히 투어나 가이드 비용이
이미 포함되어 있는 패키지 상품은
전체 금액으로 비교했을 때
훨씬 합리적인 편입니다
물론 자유여행처럼 풀빌라를 꼭 안 가도 된다고
생각하는 분들도 있지만
요즘은 리조트에서도
프로모션을 자주 하고 있어서
담당자에게 문의해 보면
생각보다 더 좋은 조건으로
예약할 수 있다는 사실!
Q2. 발리는
베트남, 태국이랑 동급이다?
발리 신혼여행이
베트남이나 태국이랑 비슷하다고
생각하시는 분들 많은데요
사실은 전혀 다릅니다!
태국 푸켓이나 코사무이는
2인 기준 4박에 항공 + 호텔 + 투어까지
보통 400~500만 원 선이고
베트남은 물가가 저렴해서
200~300만 원대에도 가능해요
근데
발리는 평균적으로
2인 약 600만 원 정도로
조금 더 예산이 들어가지만
그만큼 퀄리티가 다릅니다
태국은 관광 중심이라
액티비티 위주라면
발리는 프라이빗하게 쉬고 힐링하는 휴양에
초점이 맞춰져 있어요
같은 동남아라도 분위기가 완전히 달라서
취향에 맞게 선택하시는 걸 추천드려요!
Q3. 우기는 비추다?
발리의 우기는 피해야 한다고
생각하시는 분들 많은데요
요즘 발리의 우기는 스콜성이라
한두 시간 정도 비가 몰아치고 나면
금세 맑아지는 경우가 많습니다
그래서 여행 일정이
크게 영향을 받는 경우는 드물어요
오히려 우기철에는 성수기보다
금액 차이가 약 20~30만 원 정도 나서
훨씬 합리적인 예산으로 다녀올 수 있습니다
특히 7, 8월 같은 극성수기보다
한적하고 여유로운 분위기 속에서
리조트를 즐길 수 있어서
개인적으로는 우기에도
충분히 매력적인 시기라고 생각해요 :)
Q4. 지역 선정이 중요하다?
발리 신혼여행에서 지역 선정이
중요하다고 생각하기 쉽지만
사실 지역보다 예산에 맞는 풀빌라를 고르는 게
더 중요합니다
굳이 짐바란, 누사두아, 울루와뚜처럼
지역을 먼저 정하기보다는
내가 원하는 예산대에서 만족할 수 있는 풀빌라를
찾는 것이 훨씬 현실적이에요
물론 지역마다 분위기나 특색이 다르기 때문에
기본적인 특징은 알고 가면 좋지만
실제로는 대부분 풀빌라 안에서
시간을 보내는 경우가 많아서
내 취향과 여행 스타일에 맞는
숙소를 고르는 게 핵심입니다
어디에 있느냐보다 어떤 곳이냐가
더 중요하다고 볼 수 있죠
Q5. 발리 풀빌라,
인기 리조트가 정답이다?
인기 리조트가 정답이냐고 묻는다면
어느 정도는 맞다고 할 수 있습니다
많은 사람들이 찾는 리조트나 풀빌라는
그만큼 후기와 정보가 풍부하고
신뢰도도 높기 때문이에요
실제로 이런 인기 리조트들은
프로모션이나 혜택도 잘 되어 있어서
담당자에게 문의만 해도
좋은 요금 조건을 받을 수 있는 경우가 많습니다
하지만 그렇다고 해서
인기 리조트가 모두에게 정답은 아닙니다
사람마다 여행 스타일이나 취향
예산이 다르기 때문에
남들이 좋다고 한 곳이
꼭 나에게도 맞는 건 아니에요
따라서 후기를 참고하되
내가 어떤 분위기와 경험을 원하는지를
중심으로 선택하는 게 가장 현명한 방법이에요
발리 신혼여행을 준비하신다면
이런 점을 꼭 고려해 보세요
Q6. 발리 풀빌라,
럭셔리 리조트는 진짜 좋다?
🤭
럭셔리 리조트는 진짜 좋습니다
한국에도 훌륭한 호텔과
가성비 좋은 숙소들이 많지만
인터내셔널 럭셔리 브랜드는
확실히 한 단계 위의 만족감을 줘요
예를 들어 포시즌스 짐바란 베이 같은 곳은
오래된 리조트임에도
직원들의 세심한 서비스 완벽한 시설 관리
그리고 압도적인 뷰까지
모든 면에서 수준이 다르다는 평이 많습니다
다녀오신 분들 후기에서도
“컴플레인이 없다"라는 말이 나올 정도예요
가격만큼의 가치와 경험을
확실히 느낄 수 있는 게 럭셔리 리조트입니다 :)
Q7. 발리 맛집 맛있다?
발리 맛집은 사람마다 호불호가 있는 편이에요
개인적인 입맛에 따라 다르긴 한데
인터내셔널 호텔 조식 같은 경우는
대체로 맛있다고 느끼는 분들이 많습니다
반면에 로컬 음식은 향신료나 냄새 때문에
호불호가 갈리기도 해요
요즘에는 짱구 지역 같은 핫한 곳이나
유럽풍 분위기의 예쁜 카페 레스토랑도
많이 생겼지만
발리 음식 때문에 “또 가고 싶다”
이런 말은 잘 없다고 볼 수 있습니다
발리 신혼여행에서는 음식보다는
경치, 휴양, 분위기를 즐기시는 분들이 많아요
Q8. 플로팅조식 해야한다
플로팅 조식은 체험해 볼 만하지만
굳이 추가 비용을 들이진 않아도 돼요
저희 프로모션 중에는
무료로 제공되는 리조트들이 있어서
그걸 이용하면 충분합니다
플로팅 조식은 개인 풀장에 바스켓에
음식을 깔아두고 즐기는 방식인데
효율적이지 않아서
굳이? 싶을 수 있어요
다만 신부님들은 사진도 찍고
인스타에 올리고 싶어 하시기 때문에
추가 비용을 내고하실 수도 있습니다
포시즌스 짐바란 베이, 식스센스 울루와뚜 등은
플로팅 조식이 포함된 프로모션이 있으니
예약 전에 포함 사항을 꼭 확인해 보시는 걸
추천드립니다
Q9. 유튜브 정보는 걸러라?
유튜브 정보, 무조건 걸러야 하는 건 아니에요
허니문리조트는 직접 현지에 가서
관광이나 특정 리조트, 풀빌라를 돌아다니며
체험한 것들을 바탕으로 콘텐츠를 만들고 있어요
혹시 “특정 리조트 광고 받고 진행하는 거 아니냐”
라고 의심하실 수도 있는데
솔직한 후기와 실제 경험을 담아서
유튜브에 올리고 있습니다
같은 담당자라도 느끼는 점이 다르기 때문에
리뷰가 모두 같을 수 없어요
그래서 한 명만 출장 가는 게 아니라
이사님이나 실장님,
과장님 차장님 등
다양한 직급의 여러 담당자가 다녀와
다양한 콘텐츠를 만들고 있습니다
결국 정보는 참고용이고
판단은 신랑신부님의 몫이라는 점!!
발리 신혼여행 상담은 허니문리조트
저희 허니문리조트 직원들은
모두 현지 경험이 풍부하고
리얼하게 설명해 드릴 수 있어서
어떤 분과 상담을 받아도
만족스러운 정보를 얻으실 수 있습니다
매주는 아니지만 주말마다 진행되는
저희 신혼여행 박람회에서는
디테일한 상담은 물론
다양한 리조트 정보와 프로모션 혜택까지
한자리에서 확인 가능해요
여러 상담을 비교해 보시면서
내 스타일과 예산에 딱 맞는
발리 신혼여행 1:1 맞춤상담을
받아보세요♥️
▼허니문리조트 신혼여행 박람회▼
허니문리조트 신혼여행전문 박람회
허니문리조트 신혼여행 박람회, 허니문 전문 여행사, 허니문리조트는 여러분의 원하는 일정대로 맞춤 자유 일정으로 구성해드립니다!
www.honeymoonexpo.co.kr
#발리신혼여행 #발리허니문 #발리리조트추천
#발리신혼여행경비 #허니문리조트</t>
  </si>
  <si>
    <t>#발리신혼여행, #발리허니문, #발리리조트추천, #발리신혼여행경비, #허니문리조트</t>
  </si>
  <si>
    <t>https://postfiles.pstatic.net/MjAyNTEwMjBfODEg/MDAxNzYwOTQwMzcwOTIw.ga1QLRtz1wVhfQe7eSvw2NH-v15lKNHpSfJ8hHtaS5kg.55AKFaIOD6J1e7IAhUk6Ua0-iZ_uIli4-Al65Ndq4SQg.PNG/%EC%A0%9C%EB%AA%A9%EC%9D%84_%EC%9E%85%EB%A0%A5%ED%95%B4%EC%A3%BC%EC%84%B8%EC%9A%94._(7).png?type=w966|||https://postfiles.pstatic.net/MjAyNTEwMjBfNTkg/MDAxNzYwOTQwODc4ODM4.9lQuiEibpfXkd1jXrVZL-H2V_aJ0K9gIgA0s_FXsdT8g.cGLv9-xwa07HdZEuO8g4GkOy1BsVd6Zz-iom-dJ4beIg.PNG/%EB%B0%9C%EB%A6%AC_%EC%8B%A0%ED%98%BC%EC%97%AC%ED%96%89_%EC%98%A4%ED%95%B4%EC%99%80_%EC%A7%84%EC%8B%A4_%E2%AD%95___%E2%9D%8C_1-59_screenshot.png?type=w80_blur|||https://postfiles.pstatic.net/MjAyNTEwMjBfMjYz/MDAxNzYwOTQwODc4ODM4.et1Ziwr2oFQFtB2b-Sy4P1ZCIJdG2NAGtORxc1lnAt4g.0RlfJcXydfC6n0aDmjDtBzz2HCRmrAVCiNXqOjY_eX4g.PNG/%EB%B0%9C%EB%A6%AC_%EC%8B%A0%ED%98%BC%EC%97%AC%ED%96%89_%EC%98%A4%ED%95%B4%EC%99%80_%EC%A7%84%EC%8B%A4_%E2%AD%95___%E2%9D%8C_1-44_screenshot.png?type=w80_blur|||https://postfiles.pstatic.net/MjAyNTEwMjBfMjk1/MDAxNzYwOTQxMTA5Njg2.e7AH-wUeik0CWpsNgccZypODQ8zq39mWoHJRrkwhmaEg.7omAGWkFLGM0Tt2H5EejauUcLeDfPPxlAmUKDw68B8Ig.PNG/%EB%B0%9C%EB%A6%AC_%EC%8B%A0%ED%98%BC%EC%97%AC%ED%96%89_%EC%98%A4%ED%95%B4%EC%99%80_%EC%A7%84%EC%8B%A4_%E2%AD%95___%E2%9D%8C_3-25_screenshot.png?type=w80_blur|||https://postfiles.pstatic.net/MjAyNTEwMjBfMTA5/MDAxNzYwOTQxMTA5NTYy.7A7oZjZMdHQ5m1lKiD8CyY392afL5JYM3uhpjE__Pdkg.YNR9gpRr5JlEW7rmQNVz0W0oG2z-vHcfsGy2al6DbQIg.PNG/%EB%B0%9C%EB%A6%AC_%EC%8B%A0%ED%98%BC%EC%97%AC%ED%96%89_%EC%98%A4%ED%95%B4%EC%99%80_%EC%A7%84%EC%8B%A4_%E2%AD%95___%E2%9D%8C_3-38_screenshot.png?type=w80_blur|||https://postfiles.pstatic.net/MjAyNTEwMjBfMzcg/MDAxNzYwOTQxMTA5Njk5.kyRR570ScuJObaE3QuBVeOC4JOkt7ieiYdubl00pWo8g.hWPxYewFszZswNODJ1ipElub21BB2V2haFWKV3nc2kUg.PNG/%EB%B0%9C%EB%A6%AC_%EC%8B%A0%ED%98%BC%EC%97%AC%ED%96%89_%EC%98%A4%ED%95%B4%EC%99%80_%EC%A7%84%EC%8B%A4_%E2%AD%95___%E2%9D%8C_3-44_screenshot.png?type=w80_blur|||https://postfiles.pstatic.net/MjAyNTEwMjBfMjUz/MDAxNzYwOTQxMjA5MDUy.0mgj4GsB4O1huOzt_DhoRu2OGJLuerGAAWVhA8BbomUg.M1duFGID7ArUWYOUm7W9ga1RnufPUdUqEEKsfLGETy8g.PNG/%EB%B0%9C%EB%A6%AC_%EC%8B%A0%ED%98%BC%EC%97%AC%ED%96%89_%EC%98%A4%ED%95%B4%EC%99%80_%EC%A7%84%EC%8B%A4_%E2%AD%95___%E2%9D%8C_4-34_screenshot.png?type=w80_blur|||https://postfiles.pstatic.net/MjAyNTEwMjBfMjgy/MDAxNzYwOTQxMjA5MDY5.SM6txW6G0ZNjKgodADew4DUQnapSxB0plz6mau1i-6gg.BKkqORm8mBH7pCa4Ka8z_mUxbzKl1R-1M0UKAbmlSVIg.PNG/%EB%B0%9C%EB%A6%AC_%EC%8B%A0%ED%98%BC%EC%97%AC%ED%96%89_%EC%98%A4%ED%95%B4%EC%99%80_%EC%A7%84%EC%8B%A4_%E2%AD%95___%E2%9D%8C_4-49_screenshot.png?type=w80_blur|||https://postfiles.pstatic.net/MjAyNTEwMjBfNDYg/MDAxNzYwOTQxMzM5MTk5.iB2Hq3MmxW24kRMld7Fl2ote-UX2ob3g2K_zcJ1gGiwg.vBf41_F9Lw71Ado6YXxg908cemv0jCgrS3pdk5gLRtsg.PNG/%EB%B0%9C%EB%A6%AC_%EC%8B%A0%ED%98%BC%EC%97%AC%ED%96%89_%EC%98%A4%ED%95%B4%EC%99%80_%EC%A7%84%EC%8B%A4_%E2%AD%95___%E2%9D%8C_5-9_screenshot.png?type=w80_blur|||https://postfiles.pstatic.net/MjAyNTEwMjBfMjQ2/MDAxNzYwOTQxNzY4NzA0._yAFwiE60HNqyg82l5HfomG-V9HuJ2f_9ZWIujmIEpog.9ba2Dym6Lxkm3ZdgTBVOSK4K0vRztGvgznBEJ_6GXqcg.PNG/%EB%B0%9C%EB%A6%AC_%EC%8B%A0%ED%98%BC%EC%97%AC%ED%96%89_%EC%98%A4%ED%95%B4%EC%99%80_%EC%A7%84%EC%8B%A4_%E2%AD%95___%E2%9D%8C_8-3_screenshot.png?type=w80_blur|||https://postfiles.pstatic.net/MjAyNTEwMjBfMTY4/MDAxNzYwOTQxNzk5OTg2.l3fRKhXSxrXaYxBYzzNzkslUbYWBswg2gWzV_yqQG5sg.06thJLGHVFBr3zwuWIcMtXCAfy_cRbEeERYlIY7WQuAg.PNG/%EB%B0%9C%EB%A6%AC_%EC%8B%A0%ED%98%BC%EC%97%AC%ED%96%89_%EC%98%A4%ED%95%B4%EC%99%80_%EC%A7%84%EC%8B%A4_%E2%AD%95___%E2%9D%8C_8-35_screenshot.png?type=w80_blur|||https://postfiles.pstatic.net/MjAyNTEwMjBfMTQ1/MDAxNzYwOTQxOTE2Mzk3.Npnl_6QKSi93i__0YfFJjX2AAj8Wjo3huUjMoTQP2Bgg.3XD6rSV7Tr4BBaSzO70dLPps_D8DD3XnyFKnjGHDGLcg.PNG/%EB%B0%9C%EB%A6%AC_%EC%8B%A0%ED%98%BC%EC%97%AC%ED%96%89_%EC%98%A4%ED%95%B4%EC%99%80_%EC%A7%84%EC%8B%A4_%E2%AD%95___%E2%9D%8C_9-54_screenshot.png?type=w80_blur|||https://postfiles.pstatic.net/MjAyNTEwMjBfMTQx/MDAxNzYwOTQyMDI2OTQz.kJM5nbePLhP1CV2dO2AwX5MH6A45lsq8IjbdU6G0qqQg.gdOUdj9S7pjghEDocLolMr7N74SwsLOhInRr4XVvCMcg.PNG/%EB%B0%9C%EB%A6%AC_%EC%8B%A0%ED%98%BC%EC%97%AC%ED%96%89_%EC%98%A4%ED%95%B4%EC%99%80_%EC%A7%84%EC%8B%A4_%E2%AD%95___%E2%9D%8C_10-56_screenshot.png?type=w80_blur|||https://postfiles.pstatic.net/MjAyNTEwMjBfMTM0/MDAxNzYwOTQyMDI2OTU3.cF5tSP469XfT3jPtpKDY_8MVw02fkzYGtxSGDHuE7_0g.Syti82mQuJVdl314MNf5zCmXkR8-_y9RDW_5AjkcUB4g.PNG/%EB%B0%9C%EB%A6%AC_%EC%8B%A0%ED%98%BC%EC%97%AC%ED%96%89_%EC%98%A4%ED%95%B4%EC%99%80_%EC%A7%84%EC%8B%A4_%E2%AD%95___%E2%9D%8C_11-30_screenshot.png?type=w80_blur|||https://postfiles.pstatic.net/MjAyNTEwMjBfMjcz/MDAxNzYwOTQyMTY4NDIy.1wltwXQqibbc6pbpI4vmNlLV-A9BiMRM0Sjf6N9TgU4g.HrM5USUfOo4Qpn9SMaqv5qgJ1RA5Mfc_euCvGbJP0FMg.PNG/%EB%B0%9C%EB%A6%AC_%EC%8B%A0%ED%98%BC%EC%97%AC%ED%96%89_%EC%98%A4%ED%95%B4%EC%99%80_%EC%A7%84%EC%8B%A4_%E2%AD%95___%E2%9D%8C_12-9_screenshot.png?type=w80_blur|||https://postfiles.pstatic.net/MjAyNTEwMjBfMTY3/MDAxNzYwOTQyMjYyMTAy.dJ8h7so0Gjn1hkTNx9Mj3y_dkpi0nfD8146ZO0H_iuog.NZogXbjbgp-BAm7a6ohW3LygoO6MUXij6248F3UoQzIg.PNG/%EB%B0%9C%EB%A6%AC_%EC%8B%A0%ED%98%BC%EC%97%AC%ED%96%89_%EC%98%A4%ED%95%B4%EC%99%80_%EC%A7%84%EC%8B%A4_%E2%AD%95___%E2%9D%8C_13-11_screenshot.png?type=w80_blur|||https://postfiles.pstatic.net/MjAyNTEwMjBfMjE1/MDAxNzYwOTQyMjYyMTA1.QCxZBKIKPwxAz50fwHALFI5stJjZvQgTqh1wS3FMBKIg.k7qcB0cekpKL0tp7Q2EFXNQvllHnCgbjgUKKb5jTNhsg.PNG/%EB%B0%9C%EB%A6%AC_%EC%8B%A0%ED%98%BC%EC%97%AC%ED%96%89_%EC%98%A4%ED%95%B4%EC%99%80_%EC%A7%84%EC%8B%A4_%E2%AD%95___%E2%9D%8C_13-28_screenshot.png?type=w80_blur|||https://dthumb-phinf.pstatic.net/?src=%22https%3A%2F%2Fwww.honeymoonexpo.co.kr%2Fnewm%2Fimages%2Fhoneymoon_1.png%22&amp;type=ff500_300</t>
  </si>
  <si>
    <t>https://mblogvideo-phinf.pstatic.net/MjAyNTEwMjBfMjc3/MDAxNzYwOTQwOTIxMTIz.34qXg8gDipNp2Qlt3xy28G6pBUZJk6Qfidh2TC7A0KQg.w1wQCx8rg-yv4tNepv0v0aiVeCytE9EFiQUTM8lgcIwg.GIF/_______(1).gif?type=mp4w800|||https://mblogvideo-phinf.pstatic.net/MjAyNTEwMjBfMTE2/MDAxNzYwOTQwOTIxOTE4.BFtMgR-2YEP2K0ayB4KYjDQrnFviohqqtHuVg3UV-_Ag.tUtvZACsqRMbyLaGm-0S3tw3G3sEQvr_9f-8xCC-hosg.GIF/______.gif?type=mp4w800|||https://mblogvideo-phinf.pstatic.net/MjAyNTEwMjBfMjIy/MDAxNzYwOTQxMTExMzEx.WLUxurmS89R8ySDVMLrGfhM8wYBGb2Z1p-GDxTlZneIg.Ja0R0MDx1iruR5Nzv4zVQUi5l7k53RAQMVVsTl0cwbQg.GIF/_______(2).gif?type=mp4w800|||https://mblogvideo-phinf.pstatic.net/MjAyNTEwMjBfMzgg/MDAxNzYwOTQxMzQwMDc3.hPtmGUcWkPzSKvXxRAncJP25qo5OQR_ATrNgXZW6_iQg.v-KkiDguCGWsrB18SU5QOV1z6_F343qUt9NxVNur8HUg.GIF/_______(3).gif?type=mp4w800|||https://mblogvideo-phinf.pstatic.net/MjAyNTEwMjBfMjg5/MDAxNzYwOTQxNTMzMDcy.5QPCVyM3GSSEkqMz_NfpdCB-aJ_X-oueAEzaODBJCRcg.lGAQtBSa6615xWWdkMQ9WRpymxBIIphaxYh5MqB9gxgg.GIF/_______(4).gif?type=mp4w800|||https://mblogvideo-phinf.pstatic.net/MjAyNTEwMjBfMjUx/MDAxNzYwOTQxNTMyMzEw.KKFXMjydu2eb5fHatWPcqBhoJ0tqaIkSZ0Re9cHFGnYg.UEnyGZZajJlQj1tMDRanR336hPXAojz4aT7rDp9Xkbkg.GIF/_______(5).gif?type=mp4w800|||https://mblogvideo-phinf.pstatic.net/MjAyNTEwMjBfNDcg/MDAxNzYwOTQxNTMyODYy.Yf4aJu2sa34DphUn16T8iyz1s3cSPchQ8uhwv4HBA6wg.VodOgi3Cy4uM4PcQ3u8UZcMrJ-CqFzmsDsf0bPvjfHYg.GIF/_______(6).gif?type=mp4w800|||https://mblogvideo-phinf.pstatic.net/MjAyNTEwMjBfMjI2/MDAxNzYwOTQxNzY5ODI3.PeGFczR5IIR-vO0LkATuG518Qq28xiw2YMojhN00CYkg.VaBpbGby3CxLOrm17gaW-GeoDcarxX-uEv5IawcpoLog.GIF/_______(7).gif?type=mp4w800|||https://mblogvideo-phinf.pstatic.net/MjAyNTEwMjBfNDUg/MDAxNzYwOTQxOTE3MjIw.JQ4muGGvFZk2SoZ4z2iw_I9e-bq4mvjwLMT7tdx3_Kkg.C1ZdXQkQjCJTGuAa3Tr3-sPJjVb3JH3uViixixg5eSAg.GIF/_______(8).gif?type=mp4w800|||https://mblogvideo-phinf.pstatic.net/MjAyNTEwMjBfNjQg/MDAxNzYwOTQyMTY5NTMy.VaWOCOIZrbwOQbB4beFovL1s6KN86sZ7Psn8ruxotkwg.D5IhcE0NEOrAmrCOrkPzq-g3y33XoA7Ms_NId5uO7RAg.GIF/_______(9).gif?type=mp4w800|||https://mblogvideo-phinf.pstatic.net/MjAyNTEwMjBfMTky/MDAxNzYwOTQyMTY5Mzgz.GkA1NxRbZcvpLcvLCMeknU0uteA3XhlZ4Gr3Cg7cdBsg.s2Q9muPEfb_qIYaaeaYDeYUsma28LnfZHmDq6cLPLo8g.GIF/_______(10).gif?type=mp4w800</t>
  </si>
  <si>
    <t>[신아애드]Gianna&amp;Audrey 숙취엔 벌.. : 네이버블로그</t>
  </si>
  <si>
    <t xml:space="preserve">DESIGN BY 베이식스 https://smartstore.naver.com/giannandaudrey 서울시 성동구 아차산로 15길 52 삼환벤처타워 101호 아크릴, 포멕스 가공/ 제작 문의 주시면 최선을 다해 답변하겠습니다. 문의 전화번호 02-2268... </t>
  </si>
  <si>
    <t>blog.naver.com/shina-ad</t>
  </si>
  <si>
    <t>https://blog.naver.com/shina-ad/224047646387</t>
  </si>
  <si>
    <t>shina-ad</t>
  </si>
  <si>
    <t>안녕하세요.
신아애드 입니다.
이번에 소개해드릴 작업물은
Gianna&amp;Audrey 숙취엔 벌나무 팝업스토어 디스플레이입니다.
음주 전후에 드시면 숙취 개선에 효과적이라고 합니다.
저희 대표님께서 애주가이셔서 드셔보고 후기를 말해주셨는데요
상당히 효과가 있다고 하셨습니다.
팝업스토어는 판교 현대백화점 지하1층에서 10월 17일부터 23일, 7일간 진행합니다.
많은 관심 부탁드립니다.
소재는 녹색 투명 아크릴과 백색 포맥스를 이용하고 UV인쇄를 하여 퀄리티를 높혔습니다.
DESIGN BY 베이식스
https://smartstore.naver.com/giannandaudrey
지아나앤오드리 : 네이버 스마트스토어
임상시험으로 효과 입증된 진짜 숙취해소제 셀럽들 입소문으로 유명한 숙취엔벌나무
smartstore.naver.com
50m
© NAVER Corp.
신아애드
서울특별시 성동구 아차산로15길 52 삼환벤처타워 101호
서울시 성동구 아차산로 15길 52 삼환벤처타워 101호
아크릴, 포멕스 가공/ 제작 문의 주시면 최선을 다해 답변하겠습니다.
문의 전화번호
02-2268-6625</t>
  </si>
  <si>
    <t>https://postfiles.pstatic.net/MjAyNTEwMjBfMTk4/MDAxNzYwOTQ3MTk4MDk4.zTt0xZt3JUMNsrEOKKdoY1VnSw68mNyR2K_CsC6obukg.oK5Ri4bzISpyrFWCnQH-gYtblnFcDPOBxFjyctra5Mkg.JPEG/KakaoTalk_20251020_155454215.jpg?type=w80_blur|||https://postfiles.pstatic.net/MjAyNTEwMjBfMTMy/MDAxNzYwOTQ3MjE1NDk4.BPj9r85LQXa-SvEHeTKfkPDPEJsiTzcVoE9xuKqyWc0g.jx0ksY38_oKqQc0gnLxaf7j1GuL63nf14fW4Yur5qUAg.JPEG/KakaoTalk_20251020_155454215_01.jpg?type=w80_blur|||https://postfiles.pstatic.net/MjAyNTEwMjBfMjYz/MDAxNzYwOTQ3MjE1NzQ4.eUSQ7RLW1m70JWvRLE4jKHlk31laoZFPGBVty-qkp94g.6ZR2q-LryOCTsLXXnqg_XdgK2wFG-tsRNQbW1IlWhyAg.JPEG/KakaoTalk_20251020_155555919.jpg?type=w80_blur|||https://postfiles.pstatic.net/MjAyNTEwMjBfOTIg/MDAxNzYwOTQ3MjE1NDEy.HVO_wYt9_E7kVHY5UUUL16ABKhaVHT2c4dux2v_l1agg.n-Q2NnzcCMyqukewxMGEfRy3-qXur_ieABsUiMDCtRMg.JPEG/KakaoTalk_20251020_155555919_01.jpg?type=w80_blur|||https://postfiles.pstatic.net/MjAyNTEwMjBfOTAg/MDAxNzYwOTQ3MjE1Nzk1.6jpEdQcm9pVZGYEAxfgGytu02JCPYrQC9P9g1Xsve8sg.icSzwTPBCjlBy_Y0YcL64E6_Xg3if-4J4kLsmGAYWJ4g.JPEG/KakaoTalk_20251020_155555919_02.jpg?type=w80_blur|||https://postfiles.pstatic.net/MjAyNTEwMjBfMTU4/MDAxNzYwOTQ3Mzg3NTM2.9tN796QkFKzpTulLVMQwmkpV3RbT9DJGx1mVy4Pkf18g.Hp2eEHM8K2w6Kopv_YG8Hykd62hOFBcEbTkCxHEaQ38g.JPEG/KakaoTalk_20251020_162125546.jpg?type=w80_blur|||https://dthumb-phinf.pstatic.net/?src=%22https%3A%2F%2Fshop-phinf.pstatic.net%2F20250121_2%2F173743911043725REk_JPEG%2F9593247568482193_76509210.jpg%3Ftype%3Do1000%22&amp;type=ff500_300|||https://storep-phinf.pstatic.net/ogq_5933478d04fb7/original_19.gif?type=pa50_50|||https://postfiles.pstatic.net/MjAyNTEwMjBfMjIg/MDAxNzYwOTQ2NTYyOTcz.3vt6bYXyJNt079QM90vIxy3JDxJ7K6kkYiNYCTv58OIg.N70GviHfLOxXgTXsjxDCgt1-hhwRBWvCkhkpLszZoEQg.JPEG/%EB%84%A4%EC%9D%B4%EB%B2%84-%EB%B8%94%EB%A1%9C%EA%B7%B8-%EA%B3%A0%EA%B0%9D%EC%83%81%EB%8B%B4%ED%8E%98%EC%9D%B4%EC%A7%80.jpg?type=w80_blur|||https://storep-phinf.pstatic.net/ogq_5933478d04fb7/original_13.gif?type=pa50_50|||https://map.pstatic.net/nrb/styles/basic/1761871134/17/111798/50766.png?mt=bg.ol.sw.ar.lko|||https://map.pstatic.net/nrb/styles/basic/1761871134/17/111798/50767.png?mt=bg.ol.sw.ar.lko|||https://map.pstatic.net/nrb/styles/basic/1761871134/17/111798/50765.png?mt=bg.ol.sw.ar.lko|||https://map.pstatic.net/nrb/styles/basic/1761871134/17/111799/50765.png?mt=bg.ol.sw.ar.lko|||https://map.pstatic.net/nrb/styles/basic/1761871134/17/111797/50767.png?mt=bg.ol.sw.ar.lko|||https://map.pstatic.net/nrb/styles/basic/1761871134/17/111799/50766.png?mt=bg.ol.sw.ar.lko|||https://map.pstatic.net/nrb/styles/basic/1761871134/17/111797/50766.png?mt=bg.ol.sw.ar.lko|||https://map.pstatic.net/nrb/styles/basic/1761871134/17/111799/50767.png?mt=bg.ol.sw.ar.lko|||https://map.pstatic.net/nrb/styles/basic/1761871134/17/111797/50765.png?mt=bg.ol.sw.ar.lko|||https://map.pstatic.net/nrb/styles/basic/1761871134/17/111800/50765.png?mt=bg.ol.sw.ar.lko|||https://map.pstatic.net/nrb/styles/basic/1761871134/17/111796/50767.png?mt=bg.ol.sw.ar.lko|||https://map.pstatic.net/nrb/styles/basic/1761871134/17/111800/50766.png?mt=bg.ol.sw.ar.lko|||https://map.pstatic.net/nrb/styles/basic/1761871134/17/111796/50766.png?mt=bg.ol.sw.ar.lko|||https://map.pstatic.net/nrb/styles/basic/1761871134/17/111800/50767.png?mt=bg.ol.sw.ar.lko|||https://map.pstatic.net/nrb/styles/basic/1761871134/17/111796/50765.png?mt=bg.ol.sw.ar.lko|||https://editor-static.pstatic.net/c/resources/common/img/common-icon-places-marker-x2-20180920.png|||https://ssl.pstatic.net/static/maps/mantle/1x/new-scale-normal-b.png|||https://ssl.pstatic.net/static/maps/mantle/1x/new-scale-normal-l.png|||https://ssl.pstatic.net/static/maps/mantle/1x/new-scale-normal-r.png|||https://ssl.pstatic.net/static/maps/mantle/1x/zoom-in-small-normal.png|||https://ssl.pstatic.net/static/maps/mantle/1x/zoom-handle.png|||https://ssl.pstatic.net/static/maps/mantle/1x/zoom-out-small-normal.png|||https://ssl.pstatic.net/static/maps/mantle/1x/zoom-legend-left-on.png|||https://ssl.pstatic.net/static/maps/mantle/1x/zoom-legend-left-normal.png|||https://ssl.pstatic.net/static/maps/mantle/1x/zoom-legend-left-normal.png|||https://ssl.pstatic.net/static/maps/mantle/1x/zoom-legend-left-normal.png|||https://ssl.pstatic.net/static/maps/mantle/1x/zoom-legend-left-normal.png|||https://ssl.pstatic.net/static/maps/mantle/1x/zoom-legend-left-normal.png|||https://simg.pstatic.net/static.map/v2/map/staticmap.bin?caller=smarteditor&amp;markers=color%3A0x11cc73%7Csize%3Amid%7Cpos%3A127.0643179%2037.5473562%7CviewSizeRatio%3A0.7%7Ctype%3Ad&amp;w=700&amp;h=315&amp;scale=2&amp;dataversion=167.85</t>
  </si>
  <si>
    <t>해드릴</t>
  </si>
  <si>
    <t>2025년 10월 고3 영어 모의고사 43~4.. : 네이버블로그</t>
  </si>
  <si>
    <t xml:space="preserve">더 베이식스] 기본을 설명하다 variety [버라이어티] 품종, 종류 soil [소일] 흙, 토양 form a hill [폼 어 힐] 둔덕을 만들다 inch [인치] 인치 (길이 단위) place [플레이스] 놓다, 심다... </t>
  </si>
  <si>
    <t>blog.naver.com/kukulig</t>
  </si>
  <si>
    <t>https://blog.naver.com/kukulig/224043581007</t>
  </si>
  <si>
    <t>kukulig</t>
  </si>
  <si>
    <t>(A) On a bright fall day, a young boy named Jay visited the pumpkin festival with his grandfather. There, he became fascinated by the giant, prizewinning pumpkins on display. Jay made up his mind to grow an enormous pumpkin himself. With stars sparkling in his eyes, (a)he eagerly shared his dream with his grandfather that he wanted to grow the next show-winning pumpkin.
→ 맑은 가을날, 제이(Jay)라는 어린 소년이 할아버지와 함께 호박 축제에 갔다. 그곳에서 그는 전시된 거대한 수상 호박들에 매료되었다. 제이는 자신도 거대한 호박을 키우기로 결심했다. 반짝이는 눈으로 (a)그는 “다음 축제의 우승 호박을 내가 키우겠다”고 꿈을 열정적으로 할아버지께 말했다.
→ 맑은 가을날, 제이라는 소년은 할아버지와 함께 호박 축제를 찾았다. 전시된 거대한 수상 호박에 반한 그는, 언젠가 자신도 그런 호박을 키우겠다고 결심했다. 반짝이는 눈빛으로 그는 “다음 대회에서 내가 우승할 호박을 키울 거예요!”라며 할아버지에게 꿈을 이야기했다.
bright fall day [브라이트 폴 데이] 맑은 가을날
fascinated by [패서네이티드 바이] ~에 매료된
prize-winning [프라이즈 위닝] 상을 받은, 수상한
on display [온 디스플레이] 전시된
make up one’s mind [메이크 업 원즈 마인드] 결심하다
enormous [이노머스] 거대한
with stars sparkling in his eyes [윗 스타즈 스파클링 인 히즈 아이즈] 눈을 반짝이며, 꿈에 부풀어
eagerly [이거리] 열정적으로, 간절히
share one’s dream [셰어 원즈 드림] 자신의 꿈을 나누다
show-winning pumpkin [쇼 위닝 펌킨] 대회 우승 호박
(D) Seeing Jay’s excitement, (d)he promised to help him grow a giant pumpkin. When they visited a pumpkin farm to buy seeds, he explained the basics to Jay: choose a large variety and plant seeds from the biggest pumpkins. He also advised planting them in late May, when the soil is warm, by forming small hills about eight inches high and placing six to eight seeds in each. Following his grandfather’s advice, (e)he picked out a few promising pumpkin seeds.
→ 제이의 들뜬 모습을 본 (d)그는 그가 거대한 호박을 키우는 것을 돕겠다고 약속했다. 그들이 호박 농장에 가서 씨앗을 사던 날, 그는 제이에게 기본을 설명했다 — 큰 품종을 고르고, 가장 큰 호박에서 씨를 골라 심어야 한다는 것. 또 5월 말, 흙이 따뜻해졌을 때, 약 8인치 높이의 작은 흙둔덕을 만들어 그 위에 씨를 여섯에서 여덟 개씩 심으라고 조언했다. 할아버지의 조언에 따라, (e)그는 몇 개의 유망한 호박 씨를 골랐다.
→ 제이가 눈을 반짝이며 들떠 있는 모습을 본 할아버지는, 그가 커다란 호박을 키울 수 있도록 도와주겠다고 약속했다. 함께 호박 농장에 가서 씨앗을 살 때, 할아버지는 “큰 품종을 고르고, 가장 큰 호박의 씨를 심는 게 기본이란다”라고 설명했다. 또 “5월 말, 흙이 따뜻해질 때쯤 8인치 정도의 둔덕을 만들어 씨를 여섯에서 여덟 개 심어라”라고 조언했다. 제이는 할아버지의 말을 따라 몇 개의 잘 자랄 만한 씨앗을 골랐다.
see one’s excitement [씨 원즈 익사이트먼트] ~의 들뜬 모습을 보다
promise to help [프라미스 투 헬프] 돕겠다고 약속하다
giant pumpkin [자이언트 펌킨] 거대한 호박
visit a farm [비짓 어 팜] 농장을 방문하다
explain the basics [익스플레인 더 베이식스] 기본을 설명하다
variety [버라이어티] 품종, 종류
soil [소일] 흙, 토양
form a hill [폼 어 힐] 둔덕을 만들다
inch [인치] 인치 (길이 단위)
place [플레이스] 놓다, 심다
seed [시드] 씨앗
advice [어드바이스] 조언
follow advice [팔로우 어드바이스] 조언을 따르다
pick out [픽 아웃] 골라내다
promising [프라미싱] 유망한, 잘 자랄 것 같은
(C) Though his grandfather reminded him that a little luck was also needed, Jay remained confident. He carefully kept the seeds he had bought and spent the winter thinking about how he would grow his pumpkins. When spring finally arrived, (c)he received help from his grandfather. He used his tractor to prepare the garden with Jay. Jay eagerly planted the seeds and waited with anticipation for them to grow. But then, disaster struck. A squirrel dug up and ate every single seed.
→ 할아버지가 약간의 운도 필요하다고 일러주셨지만, 제이는 여전히 자신감이 있었다. 그는 사온 씨앗을 조심스레 보관하며, 겨울 내내 어떻게 하면 호박을 잘 키울 수 있을지 고민했다. 봄이 드디어 찾아왔을 때, (c)그는 할아버지의 도움을 받았다. 할아버지는 트랙터로 제이와 함께 밭을 일구었다. 제이는 들뜬 마음으로 씨를 심고 그것이 자라길 기대하며 기다렸다. 그러나 그때, 재앙이 닥쳤다. 다람쥐가 씨앗을 모조리 파내어 먹어버린 것이다.
→ 할아버지는 “조금의 운도 필요하단다”라고 말씀하셨지만, 제이는 굳게 믿었다. 그는 씨앗을 소중히 간직한 채, 겨울 내내 훌륭한 호박을 키우는 방법을 생각했다. 봄이 오자 할아버지가 도와주셨고, 함께 트랙터로 밭을 갈았다. 제이는 기쁜 마음으로 씨를 심고 자라나기를 손꼽아 기다렸다. 하지만 불행하게도 다람쥐가 나타나 모든 씨앗을 파먹고 말았다.
though [도우] ~하지만
remind [리마인드] 상기시키다, 일러주다
a little luck [어 리틀 럭] 약간의 운
remain confident [리메인 컨피던트] 자신감을 유지하다
carefully [케어풀리] 조심스럽게
seed [시드] 씨앗
spend the winter [스펜드 더 윈터] 겨울을 보내다
grow [그로우] 재배하다, 기르다
receive help [리시브 헬프] 도움을 받다
tractor [트랙터] 트랙터 (농기계)
prepare the garden [프리페어 더 가든] 밭을 준비하다
eagerly [이거리] 열심히, 간절히
anticipation [앤티서페이션] 기대
disaster struck [디재스터 스트럭] 재앙이 닥치다
dig up [디그 업] 파내다
every single [에브리 싱글] 하나도 빠짐없이, 전부
seed [시드] 씨앗
(B) When Jay found out what the squirrel had done, he searched through the soil but found nothing. His dream was crushed! Still, his grandfather encouraged him to plant some pie pumpkin seeds he had on hand. Jay agreed and planted them. After some time, small pumpkins filled the garden. The family baked delicious pies using the pumpkins Jay had harvested. Despite the setback, Jay found joy in the harvest and the time spent with his family. Jay promised himself that next year, (b)he would try again to grow the biggest pumpkin of all.
→ 제이는 다람쥐가 한 일을 알게 되었을 때 흙을 이리저리 파보았지만 아무것도 찾지 못했다. 그의 꿈은 산산조각 났다! 그래도 할아버지는 그에게 손에 남아 있던 파이용 호박씨를 심어보자고 격려했다. 제이는 동의하고 그것들을 심었다. 얼마 후, 정원은 작은 호박들로 가득 찼다. 가족은 제이가 수확한 호박으로 맛있는 파이를 구웠다. 비록 좌절을 겪었지만, 제이는 수확의 기쁨과 가족과 함께한 시간 속에서 행복을 찾았다. 그리고 제이는 다짐했다 — 내년에는 꼭 가장 큰 호박을 다시 키워보겠다고.
→ 다람쥐가 씨를 파먹은 걸 알게 된 제이는 흙을 파 뒤졌지만 아무것도 찾지 못했다. 그의 꿈은 무너졌다! 그러나 할아버지는 손에 남은 파이용 호박씨를 심어보자며 그를 격려했다. 제이는 그렇게 했고, 얼마 후 정원엔 작은 호박들이 주렁주렁 열렸다. 가족은 제이가 키운 호박으로 맛있는 파이를 구워 먹었다. 비록 실패를 겪었지만, 제이는 가족과 함께한 시간과 수확의 기쁨 속에서 다시 웃을 수 있었다. 그리고 그는 다짐했다. “내년에는 꼭 제일 큰 호박을 키워야지!”
find out [파인드 아웃] 알아내다, 발견하다
squirrel [스퀴럴] 다람쥐
search through [서치 쓰루] ~을 샅샅이 뒤지다
soil [소일] 흙, 토양
be crushed [비 크러쉬드] 좌절되다, 낙담하다
encourage [인커리지] 격려하다
on hand [온 핸드] 수중에 있는, 가진
pie pumpkin [파이 펌킨] 파이용 호박
harvest [하비스트] 수확하다, 거두다
setback [셋백] 좌절, 실패
find joy in [파인드 조이 인] ~에서 기쁨을 찾다
promise oneself [프라미스 원셀프] 스스로 다짐하다
try again [트라이 어겐] 다시 시도하다
the biggest pumpkin of all [더 비기스트 펌킨 오브 올] 그중 가장 큰 호박
▶ 43번 정답: ⑤번 A-(D)-(C)-(B)
1) A → D : 동기(Motivation) → 준비(Preparation)
2) D → C : 준비 단계 → 시행과 좌절의 시작
3) C → B : 실패(Failure) → 회복과 교훈(Redemption)
▶ 44번 정답: ④번
(a)제이가 꿈을 말함, (b)제이가 다짐함, (c) 제이가 도움을 받음, (d) 할아버지가 약속함, (e) 제이가 씨앗을 고름.
나머지 (a), (b), (c), (e)는 모두 Jay를 가리키지만, (d)만 Grandfather(할아버지) 를 가리킨다.
▶ 45번 정답: ⑤번
① Jay는 거대한 호박을 직접 기르기로 결심했다.
(A)에서 “Jay made up his mind to grow an enormous pumpkin himself.”
→ 완전히 동일한 표현.
② 가족은 Jay가 수확한 호박으로 파이를 구웠다.
(B)에서 “The family baked delicious pies using the pumpkins Jay had harvested.”
→ 정확히 같은 내용.
③ Jay는 호박을 어떻게 기를지 생각하며 겨울을 보냈다.
(C)에서 “He carefully kept the seeds he had bought and spent the winter thinking about how he would grow his pumpkins.”
→ 문장 그대로 일치.
④ 다람쥐가 모든 씨앗을 파내어 먹었다.
(C) 마지막 문장: “A squirrel dug up and ate every single seed.”
→ 내용 완전히 동일.
⑤ 할아버지는 5월 초에 씨앗을 심으라고 조언했다
(D) 원문: “He also advised planting them in late May, when the soil is warm.”
→ 5월 말(late May) 이지 5월 초(early May) 가 아님.</t>
  </si>
  <si>
    <t>https://postfiles.pstatic.net/MjAyNTEwMTZfMTEy/MDAxNzYwNjA4NDU4OTY1.-pvDnSFmH08RIE9vvmN9VJdJHxAHkf0EscdjDiwIOXwg.H0dsp1jJVu-6TVB0rVn1y0WYsQqOZuaapXEvPTitlF4g.JPEG/1111111.jpg?type=w773|||https://postfiles.pstatic.net/MjAyNTEwMTZfMjIy/MDAxNzYwNjA4NDYzMDgz.pE_x-Xtt18Ptx7-edenJn5GpUaWurxywSmMFr81L784g.-BiOLBSLx-qNff6WSnOqTBt3aG7EleAAaOPGlRJVN9wg.JPEG/22222.jpg?type=w80_blur|||https://postfiles.pstatic.net/MjAyNTEwMTZfMjk0/MDAxNzYwNjA4NDY4MzQ2.gOKa5fnbZTM5UPOw4JganRS_AYdgk5lQnHb88VT30m0g.QPJlEYsUP_RY0eQ2d_bZqLnXATxO2pfIKNbSqTwnXJEg.JPEG/33333.jpg?type=w80_blur</t>
  </si>
  <si>
    <t>제2565회 직업: 트레이너의 분노 Ⅰ : 네이버 블로그</t>
  </si>
  <si>
    <t xml:space="preserve">stick to (명사) = (명사)를 지키다/고수하다 Stick to the basics(베이식스). Let’s stick to the plan. Did you (동사원형) = 너 (동사원형)했어? Did you sell your car? Did you go to the gym today?... </t>
  </si>
  <si>
    <t>blog.naver.com/bupaman24</t>
  </si>
  <si>
    <t>https://blog.naver.com/bupaman24/224042823941</t>
  </si>
  <si>
    <t>bupaman24</t>
  </si>
  <si>
    <t>A: Did you stick to your diet(다이엣) plan? 다이어트 계획 지키셨어요?
B: I’ll be honest. I ate fried chicken last night. 솔직히 말할게요. 어젯밤에 프라이드치킨 먹었어요.
A: What? You have to stick to your plan! 네? 계획을 지키셔야죠!
B: I know, but I just couldn’t help it. 아는데, 그냥 참을 수가 없었어요.
stick to (명사) = (명사)를 지키다/고수하다
Stick to the basics(베이식스).
Let’s stick to the plan.
Did you (동사원형) = 너 (동사원형)했어?
Did you sell your car?
Did you go to the gym today?
honest = 솔직한
honesty = 솔직함
last night = 어젯밤, 어젯밤에
What did you do last night? 너 어젯밤에 뭐했어?
Jerry came by last night. Jerry가 어젯밤에 들렀어.
must(의지를 나타낼 때) &gt; have to(하기 싫어도 의무적으로 해야 한다) &gt; should(안 해도 큰일 나는 것은 아니지만 하면 좋다)
have to (동사원형) = (동사원형)해야만 한다
I have to go to work.
She has to leave early.
couldn’t help it = 하지 않을 수가 없었다(유혹에 넘어가는 나를 도와줄 수가 없었어)
It looked so delicious, I couldn’t help it! 엄청 맛있어 보여서 안 먹을 수가 없었어!
It was so funny, We couldn’t help it. 엄청 웃겨서 웃지 않을 수가 없었어.
★ 난 엄청 슬펐어. 울지 않을 수가 없었어. I was so sad, I couldn’t help it!</t>
  </si>
  <si>
    <t>#데일리영어 #다이어트영어 : 네이버 블로그</t>
  </si>
  <si>
    <t xml:space="preserve">Stick to the basices[베이식스].기본에 충실해라. Let's stick to the plan. Did you 동사원형: ~했어? Did you sell your car? Did you go to the gym today? B: I'll be honest. I ate fried chicken last night.... </t>
  </si>
  <si>
    <t>blog.naver.com/rememberray</t>
  </si>
  <si>
    <t>https://blog.naver.com/rememberray/224041962821</t>
  </si>
  <si>
    <t>rememberray</t>
  </si>
  <si>
    <t>A: Did you stick to your diet[다이엣] plan?
다이어트 계획 지키셨어요?
stick to명사: ~를 지키다/고수하다.
Stick to the basices[베이식스].기본에 충실해라.
Let's stick to the plan.
Did you 동사원형: ~했어?
Did you sell your car?
Did you go to the gym today?
B: I'll be honest. I ate fried chicken last night.
솔직히 말할게요. 어젯밤에 프라이드 치킨 먹었어요.
honesty: 솔직함[명사]
honest:솔직한[형용사]
Jerry came by last night.
A: What? You have to stick to your plan!
네? 계획을 지켜야죠!
must&gt;have to&gt;should
B:I know, but I just couldn't help it.
아는데, 그냥 참을 수가 없었어요.
couldn't help it: 하지 않을수가 없었다.
It was so funny, we couln't help it.
It looked so delicious, I couldn't help it.
📘 핵심 문법 &amp; 표현 정리
1️⃣ stick to + 명사 : ~을 지키다, 고수하다
👉 계획, 규칙, 원칙 등을 꾸준히 따를 때 사용.
예문
Stick to the basics.
기본에 충실해라.
Let’s stick to the plan.
계획을 지키자.
It’s hard to stick to a diet.
다이어트를 꾸준히 지키는 건 어려워요.
You should stick to your decision.
당신의 결정을 지켜야 해요.
💡비슷한 표현
keep to : (규칙·시간 등을) 지키다
→ Please keep to the schedule. (일정을 지켜주세요.)
2️⃣ Did you + 동사원형 … ? : ~했어요?
👉 과거 사실을 묻는 기본 의문문 구조.
공식
Did + 주어 + 동사원형 … ?
예문
Did you sell your car?
차 팔았어요?
Did you go to the gym today?
오늘 헬스장 갔어요?
Did you call your mom?
엄마에게 전화했어요?
Did you see the movie last night?
어젯밤에 영화 봤어요?
⚠️주의:
과거형 did 가 이미 있으므로, 본동사는 원형 사용!
❌ Did you went? → ✅ Did you go?
3️⃣ I’ll be honest : 솔직히 말할게요
👉 말하기 전에 자신의 진심이나 고백을 할 때 자주 쓰는 표현.
(비슷한 표현: Honestly, To be honest with you)
예문
I’ll be honest. I don’t like that idea.
솔직히 말해서, 그 아이디어는 별로예요.
To be honest, I was a bit disappointed.
솔직히 좀 실망했어요.
Honestly, I didn’t expect that.
솔직히 그건 예상 못 했어요.
4️⃣ have to / must / should
👉 모두 “~해야 한다”지만 강도가 다름.
표현
의미
강도
예문
must
반드시 해야 함 (의무감·강한 강조)
🔥
You must wear a seat belt.
have to
해야 함 (일반적인 의무)
💪
You have to stick to your plan.
should
하는 게 좋음 (조언, 권유)
👍
You should eat more vegetables.
5️⃣ couldn’t help it : 어쩔 수 없었어요 / 참을 수 없었어요
👉 감정이나 욕구를 억제할 수 없을 때 자주 씀.
예문
It was so funny. We couldn’t help it.
너무 웃겨서 참을 수가 없었어요.
It looked so delicious. I couldn’t help it.
너무 맛있어 보여서 참을 수 없었어요.
I know it’s bad, but I couldn’t help it.
나쁜 줄 알지만 어쩔 수 없었어요.
📍비슷한 표현
I couldn’t resist it. → (유혹을) 견딜 수 없었어요.
I couldn’t stop myself. → 나 자신을 멈출 수 없었어요.
I gave in. → 결국 굴복했어요 / 포기했어요.
🧩 추가 회화 연습 예문
A: Did you stick to your study schedule?
공부 일정 잘 지켰어요?
B: Not really. I fell asleep early.
아니요, 일찍 잠들었어요.
A: You have to stick to your budget.
예산을 지켜야 해요.
B: I know, but I couldn’t help buying that bag.
알아요, 근데 그 가방은 참을 수가 없었어요.
A: Be honest. Did you finish it?
솔직히 말해요. 다 끝냈어요?
B: No… I got lazy.
아니요… 좀 게을러졌어요.
#왕초보영어 #초보영어일기 #초보영문법 #기초영문법 #기본영문법 #초보영어회화 #기초영어회화 #기본영어회화#영어일기 #하루영어 #영어공부 #여행영어 #생활영어 #관광영어 #일상영어회화 #EBS영어 #데일리영어</t>
  </si>
  <si>
    <t>#왕초보영어, #초보영어일기, #초보영문법, #기초영문법, #기본영문법, #초보영어회화, #기초영어회화, #기본영어회화, #영어일기, #하루영어, #영어공부, #여행영어, #생활영어, #관광영어, #일상영어회화, #EBS영어, #데일리영어</t>
  </si>
  <si>
    <t>[후쿠오카] 짧고 굵은 여행 2박 3일-1일 차 : 네이버 블로그</t>
  </si>
  <si>
    <t xml:space="preserve">(#더베이직스후쿠오카) 하카타역이랑 가까운 곳으로 골랐다. 호텔 직원 영어, 한국어, 일본어 다 해서 편하게 의사소통 가능했다 다음에 또 온다면 여기 이용하고 싶을 정도로 좋았음!! 최고 무슨 까마귀가... </t>
  </si>
  <si>
    <t>blog.naver.com/jichu98_</t>
  </si>
  <si>
    <t>https://blog.naver.com/jichu98_/224062564437</t>
  </si>
  <si>
    <t>jichu98_</t>
  </si>
  <si>
    <t>https://youtu.be/azouG5NPtd0?si=s47xekznp44UVg4-
📍여행 준비 – 짐 싸기부터 공항까지의 behind story
진이랑 후쿠오카 가기로 한 날 :)
07:20 비행기로 3am에 만나서 출발하기로 했지만,
짐을 10pm부터 싸기 시작한 우리는 1am에 잤다
1시간밖에 못 자고 일어나는 상황이라 두시에 일어나면 서로 전화로 깨워주자고 했는데 2am 38분에 전화 부재중 찍혀있었다.. (전화 못 받은 나,,, 결국 둘 다 늦잠 자버린 상황)ㅋㅋㅋㅋㅋㅋㅋㅋ
부랴부랴 대충 챙기고 3am30에 만나서 출발했다
어찌저찌 요거프레소가 3am30까지 영업해서 배달 시켜놓고 준비하고 나와서 픽업하고 진이 차에 탑승 완료..!
이렇게 잘 가고 있었는데 진이가 갑자기 “야!!!!” 이러고 나를 한참 쳐다봤다. 나는 얘가 여권이나 중요한 거 놓고 온 줄 알았는데,,,
“너 환전한 거,,,!!” 이러길래 아차 했다
환전한 거 내 차에 놓고 출발할 때 꼭 챙기라고 해줘 했는데 둘 다 급하게 나오느냐고 깜빡했다…
결국 공항 가서 다시 환전했다…
(파워 J가 되고 싶어요…)
주차도 빡세….
어찌저찌 여유롭게 공항 도착-!
초록 여권이 그립다,,,
비행기 탑승 완료!
타자마자 기절했던 우리
Day 1 )
더 베이직스 후쿠오카
2 Chome-14-1 Hakataekihigashi, Hakata Ward, Fukuoka, 812-0013 일본
우리가 선택한 숙소! (#더베이직스후쿠오카)
하카타역이랑 가까운 곳으로 골랐다.
호텔 직원 영어, 한국어, 일본어 다 해서 편하게 의사소통 가능했다
다음에 또 온다면 여기 이용하고 싶을 정도로 좋았음!! 최고
[후쿠오카] 짧고 굵은 여행 2박 3일-1일 차 (1)
재생
0
좋아요
0
00:29
접기/펴기
[후쿠오카] 짧고 굵은 여행 2박 3일-1일 차 (1)
무슨 까마귀가 애완 까마귀처럼 저러는지 ,,, 신기하다
가만 보면 귀엽기도..?
7월 대지진 일어난다는 소문에 후다닥 6월에 와버린 일본-
일본의 낭낭한 느낌 조하- 지진 안 났으면,,, ㅜㅡㅜ
후쿠오카 여행 중 꼭 들러야 할 키와미야 함바그 집에 왔다.
현지인과 관광객 모두에게 인기 있는 함바그 전문점이다!
하카타역과 텐진점 고민하다가, 텐진점으로 왔다.
PARCO 백화점 지하 1층에 있어서 비 오는 날에도 걱정 없이 쇼핑하면서 식사 코스로 완벽하다.
대기 줄은 은근 길었다... 한 1시간 정도 기다린 것 같다..
여기가 바로 대기 줄인 줄 알고 별로 없네!! 하고 좋아했지만,
갑자기 직원이 우리를 어디론가 데려간다,,,
앞쪽에 있는 사람들을 뒤쪽으로 안내해서 대기하라고 한다..
안 보여서 더 오래 기다린 것 같은 느낌...
여기 서있다 보면 직원이 오셔서 메뉴판을 준 다음에 고르면 미리 주문해놓으면 된다.
드디어 다시 앞으로 보내서 20분 정도 기다린 것 같다.
여기에도 메뉴판이 있다.
한국어로도 쓰여있어 보기 편함 +
주류와 같이들 많이 드시던데
우리는 술을 안 좋아해 패스,,,
저도 얼른 먹고 싶어요...
드디어 앉았다.
다리 무진장 아파... ㅏ ㅍ ㅏㅏ..
가방은 저기에 두면 됨.
앉자마자 거의 음식 나와서 다행이었다.
배고파서 힘들었어요...
키와미야 함바그 M사이즈 1,380엔 + 토핑(달걀 반숙 볶음) 150엔+ 1세트메뉴 구성 : 밥, 미소된장국, 샐러드, 소스 택 1(달콤 소스), 아이스크림까지 해서 450엔
인당 총 1,980엔으로 19,800원 나왔다.
-현금&amp;카드 결제 가능-
기본 세트 구성도 나름 알차고, 함바그는 육즙 가득하면서 겉은 바삭! 속은 촉촉했고,
달콤 소스 찍어 먹으면 더 맛있었다 ㅎㅎ
무엇보다 레어 상태로 제공된 함바그를 내 앞에서 직접 구워 먹는 재미도 있을뿐더러
따뜻하게 바로바로 먹을 수 있어서 좋았다.
먹을 동안 옆에 익혀놓으면 바로바로 먹을 수 있다
저 불판 기능이 약해질 때 직원에게 말하면 바로바로 다시 불판 구워서 주시는데,
한 4번 정도는 한 것 같다.
바로바로 옆에서 캐치해서 해주시는 경우도 있고 말해야 해주는 경우도 있고,
그래도 기다리지 않고 바로바로 해서 가져다줘서 시간이 소요되진 않는다.
[후쿠오카] 짧고 굵은 여행 2박 3일-1일 차 (2)
재생
0
좋아요
0
00:32
접기/펴기
[후쿠오카] 짧고 굵은 여행 2박 3일-1일 차 (2)
맛있는 소리,,
보니깐 또 땡기는 마-법
약간 롯데리아랑 맛 비슷하지만, 그래도 맛 도리~~
바닐라 아이스크림 원래 잘 안 먹었는데 저거 다 먹었다.
양이 적당해서 좋음!
일 포르노 델 미뇽
일본 〒812-0012 Fukuoka, Hakata Ward, Hakataekichuogai, 1−1 ＪＲ博多駅構内 １階
하카타역 안에 있는 크루아상 맛집으로 소문난 집
왼쪽과 오른쪽의 확연한 차이 봐…
오른쪽에 줄 서있는 사람 엄청 많았다
인기 있는 곳은 다 대기가 많았다는 사실…휴
그래도 금방금방 돼서 좋아~~
맛의 차이!
우리는 플레인, 초코, 고구마 제일 인기 있는 곳으로 따라 줄 섰다
저기 명란도 맛있다고는 하지만! 그래도..ㅎㅎ
여기가 최고인 듯
현금결제만 가능하고 카드 결제는 안된다
또, 회전율로 빠르니 미리 주문할 거 고민해 놓기!
개당 or gram으로 가격 측정
미니 크루아상 한가득-
결국 배가 부른 우리는 플레인, 고구마, 초코 하나씩만 해서
숙소로 가져가서 먹었다
완전 버터 향 한가득
음~~비 냄새 좋아!
비 오는 날의 일본도 낭만 있다는 점~~
웅장했지만, 관심 살짝 부족,,,
조금만 보고 지나갔다.
[후쿠오카] 짧고 굵은 여행 2박 3일-1일 차 (3)
재생
0
좋아요
0
02:19
접기/펴기
[후쿠오카] 짧고 굵은 여행 2박 3일-1일 차 (3)
진이가 핀을 이렇게 열심히 찾을 줄이야,,,
너 이러는 거 처음 봐 진아..
옛날에 어렸을 때
저 풍선껌 좋아했는데... 추억--
일본 오면 먹어줘야지
"타코야키
문어 엄청 큼
멜론 소다까지 해서 먹기
도쿄보다 생강 맛 별로 안 나서 더 맛있었다
우리방 너무 좋아 ㅜㅜㅜ
일본은 원래 방 작은데, 저렴한 가격에 방 크기도 넉넉해서 너무 좋았다.
이불도 푹신하고, 밖에 보는 것도 좋고, 템플스테이 잠옷 같은 잠옷도,,, 다 너무 좋았다는~~
여기 내 포토존!
행복했어~~~
아 맞다 뒤에 있는 저거 탈취제?? 냄새 정말 좋음.
어디 건지 알고 싶었지만, 호텔 로고 쓰여있어서 어디 건지 무슨 향인지 잘 몰라...
아는 사람 나 좀 알려줘,,,
템플스테이 잠옷
주의 : 템프 스테이 온 거 아님 (삐-빅)
그 와중에 우리 다리 부운 거랑 양말 자국 봐,,,ㅋㅋㅋㅋㅋㅋㅋㅋㅋㅋㅋㅋㅋ
1시간 자고 일본 온 우리 밥 먹고 살짝 돌아다니다가
"우리 숙소 가서 좀만 자고 나올까?"했던 우리 둘
너도??나도 원했어,,,ㅎㅎ
우리 둘 다 결국 기절했다...
마지막 힘까지 쥐어짜서 사진 찍는 "나"
푹 쉬다가 야식 먹으러 나왔다.
비 오는 후쿠오카 너무 좋아~~~
[후쿠오카] 짧고 굵은 여행 2박 3일-1일 차 (4)
재생
0
좋아요
0
00:03
접기/펴기
[후쿠오카] 짧고 굵은 여행 2박 3일-1일 차 (4)
신난 나머지,,,
친구가 연락 왔다.. 또 까분다고,,,
나 28살이야... 까분다니 ..
그렇지만 신나는 걸 어떡해~~~
룰 루 랄 라
멘야 카네토라 텐진 본점
일본 〒810-0004 Fukuoka, Chuo Ward, Watanabedori, 4 Chome−9−18 Fukusyu Bldg, 1F
비도 오니 라멘을 먹으러 왔다.
후쿠오카의 대표적인 돈코츠계 츠케멘 맛집 "멘야 카네토라"
: 텐진 서민 지하상가 근처, 니시테츠 텐진역에서 도보 3분 거리에 위치해있다.
작고 아담한 매장이라 실내 분위기가 조용하고, 혼밥 하러 많이들 오는 것 같아요
좌석부터 혼밥 하기 딱 좋은 느낌.
여기도 현지인과 관광객에게 유명한 곳이라 역시,, 또 대기를,,
근데 관광객보다 현지인이 더 많았다
그래서 기대를 더 안고 들어갔다.
줄 대기 후 키오스크로 주문하고 결제하면 끝.
나오는 영수증 가지고 있으면 됩니다.
저기 대기석에 앉아있으면 잘생긴 알바생이 무릎 꿇고 주문 번호 봐주시는데,,,
오,,, 우리한테만 그러는 줄 알고 우앙 했지만,, 모두에게 했다는,,, 일본 매너인가..?
물이 엄청 시원했다.
혼밥 하러 오는 사람 많았다.
현지인 7: 관광객 3 비율?
반숙란... 일본은 반숙란 미쳤어..
면발도 엄청 탱글탱글..
진하고 감칠맛 폭발 육수입니다.
돈골, 닭 뼈, 채소, 해산물을 오랜 시간 끓여 낸 육수에 멸치, 해산물 가루를 더해 깊고 풍부한 맛을 완성했다는데.
다 모르겠고 엄청 맛있다.
맵기 조절 가능하던데 우리는 너무 매울까 봐 2단계였나 했던 걸로 기억한다.
조금 더 맵게 해도 괜찮았을 듯
이 육수에 면발 조금씩 넣어서 담가서 먹으면 된다.
면말이 탱글탱글하면서 굵어 더 맛있다...
입에 착 감기는 맛
테이블에 마늘, 식초, 고춧가루 있는데
한국인이라면 마늘 꼭 넣으세요.
진짜 더 맛있음.
우리 진짜 세 번 넣었는데 진짜 너무 맛있었다.
역시 한국인은 마늘이지.
저기 안에 있는 김도 맛있었지만, 차슈도 엄청 푸짐하고 제일 맛있었다는 사실
후쿠오카 오면 여기 또 올 거임 ㅜㅡㅜ
-현금&amp;카드 결제 가능-
편털에 진심인 우리...
더 하고 싶었지만 우리는 다 못 먹는 걸 알기에,, 적당히 했어요^_^
바닐라파, 초코파
난 뭐게
이날은 진이 생일이어서 가볍게 케쿠~~~
아니 여기 인생 치즈케이크라고 유명하던데,,,
그 정도는 아니던데,,,?
그래도 케이크 사이즈 좋아서 나름 잘 먹었다
Happy Birthday 진이♡
(2탄도 있어요) -&gt; 다음화에
#후쿠오카 #후쿠오카항공권 #후쿠오카여행 #후쿠오카맛집 #후쿠오카항공권 #후쿠오카숙소 #후쿠오카키와미야함바그 #키와미야함바그 #후쿠오카일포르뇽 #미니크루아상 #크루아상 #멘야카네토라 #멘야카네토라텐진 #후쿠오카캐널시티 #후쿠오카캐널시티맛집 #후쿠오카2박3일 #후쿠오카2박3일일정</t>
  </si>
  <si>
    <t>#더베이직스후쿠오카, #후쿠오카, #후쿠오카항공권, #후쿠오카여행, #후쿠오카맛집, #후쿠오카숙소, #후쿠오카키와미야함바그, #키와미야함바그, #후쿠오카일포르뇽, #미니크루아상, #크루아상, #멘야카네토라, #멘야카네토라텐진, #후쿠오카캐널시티, #후쿠오카캐널시티맛집, #후쿠오카2박3일, #후쿠오카2박3일일정</t>
  </si>
  <si>
    <t>https://postfiles.pstatic.net/MjAyNTA2MjVfMTI3/MDAxNzUwODUxNjcxMTgz.KHjgwmYebXWo0leaALctvRoayupce-O-YgMg3ua7VREg.EDHBHZYXU9wyF3sQDky_s6x31tqplxsj-aER1ugkCsYg.JPEG/IMG%EF%BC%BF2880.jpg?type=w80_blur|||https://postfiles.pstatic.net/MjAyNTA2MjVfODkg/MDAxNzUwODUxNjc0ODIz.e0eUbXgR2jWKHPkhwLUv62cBJR_GQugrcSUUFZUYRVMg.a03q0UUfqm6VIPbOZQS4UuEq_YtlgzMo0yEr_V8BGoIg.JPEG/IMG%EF%BC%BF2881.jpg?type=w80_blur|||https://postfiles.pstatic.net/MjAyNTA2MjVfMjkz/MDAxNzUwODUyNzAxMTky.xqau5mpIk4783EdfRHR7y6zlZwCKy6UnKA2cIpdD6Ekg.btSf3ifUfj5-3s2IulpjT3iHXiBJugm2RjpT6Q_BxUsg.JPEG/IMG%EF%BC%BF3198.jpg?type=w80_blur|||https://postfiles.pstatic.net/MjAyNTA2MjVfMjMz/MDAxNzUwODUxNjc1NjMy.Z56WPE47Qlw8I-LjJlBMkM08a66nErc2lIBhn6ybUg8g.1qkYjTV26J4hE5wpZDcI-mmYXwN78fCVKx022wL_dDwg.JPEG/IMG%EF%BC%BF2882.jpg?type=w80_blur|||https://postfiles.pstatic.net/MjAyNTA2MjVfMjAy/MDAxNzUwODUxNjczNTY2.ku9xyTql0PCrugqt_OcqI6DyXkN8j_biCLb9uVP8go8g.ep_QMSCnOowiIYIK3iITULfeKbjLEqm0TgMZMZ3c42Ug.JPEG/IMG%EF%BC%BF2883.jpg?type=w80_blur|||https://postfiles.pstatic.net/MjAyNTA2MjVfMjgy/MDAxNzUwODUxNjg4MDQ0.XFwAye-l4d50PX7sjFXFI4LZqkHqArubijZfUut0Qjsg.bMoG63yCJJBAGMC6dDZVfmmbjHkFHlJiHfCAdY56EhAg.JPEG/IMG%EF%BC%BF2992.jpg?type=w80_blur|||https://postfiles.pstatic.net/MjAyNTA2MjVfMTg1/MDAxNzUwODUxNjg3OTQ2.xWSiPq-djfVm8C_xlK0F3vHa0DHrO9pwGqHPY-ubHmQg.hAz46ozU5ay741Avw65Lbx68hDesswxZVya_d9TpM8gg.JPEG/IMG%EF%BC%BF2993.jpg?type=w80_blur|||https://maps.googleapis.com/maps/api/staticmap?channel=naver_blog&amp;size=700x315&amp;markers=icon:https://editor-static.pstatic.net/c/resources/common/img/common-icon-places-marker-x2-20180920.png%7C33.5890783,130.4268238&amp;center&amp;zoom=17&amp;scale=1&amp;path&amp;visible&amp;language=ko&amp;client=gme-nhncorp&amp;signature=KndhqcDRgBLiSsKBlyMMZu3kvEM=|||https://postfiles.pstatic.net/MjAyNTA2MjlfMTI3/MDAxNzUxMTM3Mzg0MjQ3.tMwJPI_u9hbvWuMl8ewq7fN7I6yu2N3cPAQQig8NnjYg.TS6ofR4Jdl9W0z3jEke1ftQnhKezqgkNtAGt7YVDfhsg.JPEG/output%EF%BC%BF2615223959.jpg?type=w80_blur|||https://postfiles.pstatic.net/MjAyNTA2MjVfMjA4/MDAxNzUwODUxNjcxNDU3.FGQ_YaAcPUPO0zGeWhD7eh5gEffuUaoshVGOeeAEvCIg._ci1dhyOI4z4n7Mc61sw339p4sYiCBiVbyMMMxBxZgwg.JPEG/IMG%EF%BC%BF2999.jpg?type=w80_blur|||https://postfiles.pstatic.net/MjAyNTA2MjVfMjQ4/MDAxNzUwODUxNjc0MTU4.ZTaxjelHRTmNiP_RcsYRJ2yi_fnTcbguNrH-PwD53Zog.RkkgauonCqcOWq7p9_0hCzvkqtgP7I5xSsLVb7kT6fEg.JPEG/IMG%EF%BC%BF3001.jpg?type=w80_blur|||https://postfiles.pstatic.net/MjAyNTA2MjVfMjQ1/MDAxNzUwODUxNjc1Mzcy.g8nCPcAJ1X_HIklfuSCXZ9dNfSu-s4Zzjd-2nV3HVeIg.rCU6SjJOnwrjruktJpbrXHwzBlTxrcoHRRo1EsloAyQg.JPEG/IMG%EF%BC%BF3007.jpg?type=w80_blur|||https://postfiles.pstatic.net/MjAyNTA2MjlfOTQg/MDAxNzUxMTM3MzYxODU3.xb11gvbycg5sK_VG_jH1bd2uJ4AMz6ym0GpJWCFiO3Yg.e5C_zrIVeqb9p_bBSrTAvA1aNg9FqBsbZ7cA3f2bzaAg.JPEG/output%EF%BC%BF3830088681.jpg?type=w80_blur|||https://postfiles.pstatic.net/MjAyNTA2MjlfMjY5/MDAxNzUxMTM3MzQ1MTc3.OXHkt1RfF5amiNX-etVre1lNUL3jAzPtkp5PiFAPVlsg.qGv_Msr6MMSSzhEUSF7BXzWy92gDycR2BJBItDcRXiMg.JPEG/output%EF%BC%BF2462690198.jpg?type=w80_blur|||https://postfiles.pstatic.net/MjAyNTA2MjlfMTU1/MDAxNzUxMTM3MzI0MTIw.tbDbgQRl1Yspr3H4bA0diXrYmb_r8mE1Mhrb2JBjaLog.ObbjswVu23IpVsH-qONfyUAg-FnKh3mEyiYn0IDBe1gg.JPEG/output%EF%BC%BF4142996982.jpg?type=w80_blur|||https://postfiles.pstatic.net/MjAyNTA2MjVfMjg4/MDAxNzUwODUxNjc2Mjc5.I2uFQY10oQqwcGytLzPlzyocJnJKzX03_yDg7nf1tSAg.VZXFHOTgZOSV3vAjs7fWjGcnUdUwZpM5LhYTghYhg7kg.JPEG/IMG%EF%BC%BF3014.jpg?type=w80_blur|||https://postfiles.pstatic.net/MjAyNTA2MjVfMTAz/MDAxNzUwODUxNjc2OTA5.7FSoOjU1D_ryJMh7wIIkAi0QFPxkZaIHC56dq3JFouAg.KlcjDsl8FVWNd3dbBSfg4tzoRw73xse7--tcxjg9Ckkg.JPEG/IMG%EF%BC%BF3013.jpg?type=w80_blur|||https://postfiles.pstatic.net/MjAyNTA2MjVfNTAg/MDAxNzUwODUxNjc1NDIz.S5Y04ezZc3zDXodldm8629p6Lg4chAh5-19l6F_VT3Yg.RZaqKCXJ_IYHAYMDHFy8RV8YzuXOk_TkBnGFvBv00kYg.JPEG/IMG%EF%BC%BF3009.jpg?type=w80_blur|||https://postfiles.pstatic.net/MjAyNTA2MjVfMjQ3/MDAxNzUwODUxNjc2OTc1.RJYasVlf5VI8ZRtae7da2NUp76xQD-X4j-H1cW0a7RAg.SvELcjn1Go6N0K1vKf9iIQdiuN_584KL2Du7Q057TI0g.JPEG/IMG%EF%BC%BF3010.jpg?type=w80_blur|||https://postfiles.pstatic.net/MjAyNTA2MjVfMjg3/MDAxNzUwODUxNjc2OTg1.bIG8Zwt02TJYdU5h34RjFcvX0KL6Vwsaq7YoQvuoFd0g.-v6nBSzF7TmdK2Nt-i3fNWcoId1zjac49S_r-Lr339Eg.JPEG/IMG%EF%BC%BF3011.jpg?type=w80_blur|||https://postfiles.pstatic.net/MjAyNTA2MjVfMTU2/MDAxNzUwODUxNjc1ODUw._NNKLPw565L8Ob8kdWbmKsxHa9zZb7ecqR-pTBy_cssg.GpYwh6XhMmaHmN5kXXF-Ty9sva_sU1ynxiveGgyecYQg.JPEG/IMG%EF%BC%BF3012.jpg?type=w80_blur|||https://postfiles.pstatic.net/MjAyNTA2MjlfNjcg/MDAxNzUxMTM3MzA5MDQ1.zQSC68wbS5UrzhHEtc3LAIMDuADj-FXvh0OpFi2pC2Ag.0H8HMyWxrM0F18ygIHMcZA-NIMxgoWlcxt6ml1XbBSYg.JPEG/output%EF%BC%BF3203396830.jpg?type=w80_blur|||https://postfiles.pstatic.net/MjAyNTA2MjVfOCAg/MDAxNzUwODUxNjc3MzY2.C-LDa4eidpPUdl58Ci-XYtUS3BJS5EKWRdgXV2t3uAQg.x4WWfCDh1_PEkVEXt0ydryuwhdog0Rgy8uZD7iQkydUg.JPEG/IMG%EF%BC%BF3016.jpg?type=w80_blur|||https://postfiles.pstatic.net/MjAyNTA2MjVfMjAy/MDAxNzUwODUxNjc3OTI1.Fz3X_v7hMa8hnr_fluBxGy71SU3tmRF9weY57Kni0ysg.Z5O-DLZJw5Zp2_BdGOslRgNk02sN_rOdbb1VoPgrsWMg.JPEG/IMG%EF%BC%BF3017.jpg?type=w80_blur|||https://postfiles.pstatic.net/MjAyNTA2MjVfMjcx/MDAxNzUwODUxNjc4MDc3.y-AohnD42CM_XkLPdTm6zeK7KX_guXPHYAE2sEZZV7Qg.D_ewJiRwG_W1xLgWrt7ow0G-4JdC91B_v1FihVHAQbsg.JPEG/IMG%EF%BC%BF3021.jpg?type=w80_blur|||https://postfiles.pstatic.net/MjAyNTA2MjVfMjA4/MDAxNzUwODUxNjc4MTM1.JLNqEWXNskUtpdcTiMmauKABNpugvauiACbgdi6DbrMg.tqNUnp7rAV11bJNg5mgL0oUbsiMzTWldPvNJDyhz_m8g.JPEG/IMG%EF%BC%BF3023.jpg?type=w80_blur|||https://postfiles.pstatic.net/MjAyNTA2MjVfMzAw/MDAxNzUwODUxNjc4OTA0.lWevFAsMJHzMJXO60V0OQrks0WeS9NLhCws_RnkxH08g.b2_3kNlocRTSO5w-doP7us8dAJI_E3fXNZym63m1AxAg.JPEG/IMG%EF%BC%BF3025.jpg?type=w80_blur|||https://postfiles.pstatic.net/MjAyNTA2MjVfMTYz/MDAxNzUwODUxNjc5MjE5.yMKsMdComT40KAWw61-lwMuAMW8pIGs7P9gmschdxPYg.QcjRIO_24GggusuRfGq14zHVlSZRQbkq7Lpg0lsopHEg.JPEG/IMG%EF%BC%BF3026.jpg?type=w80_blur|||https://postfiles.pstatic.net/MjAyNTA2MjVfMjg4/MDAxNzUwODUxNjc5MTIy.htdF1zn8cFyZ6xwo9SXVBKVqOPupwgsKu1123h_jnk8g.L4WmsYLduJzl2T67YZOMsWtvjcf_bFugbKGJTs-X_yog.JPEG/IMG%EF%BC%BF3030.jpg?type=w80_blur|||https://postfiles.pstatic.net/MjAyNTA2MjVfMTgg/MDAxNzUwODUxNjc5MjQz.14taiXdFu6DIw4h_o-8qn8LUnt9WLIaC9xSRhhShZbog.f1xRigyokAms-jxZPbozFLTVLzLbz2PfFZumaSBBVUkg.JPEG/IMG%EF%BC%BF3032.jpg?type=w80_blur|||https://maps.googleapis.com/maps/api/staticmap?channel=naver_blog&amp;size=589x300&amp;markers=icon:https://editor-static.pstatic.net/c/resources/common/img/common-icon-places-marker-x2-20180920.png%7C33.590226,130.420495&amp;center&amp;zoom&amp;scale=2&amp;path&amp;visible&amp;language=ko&amp;client=gme-nhncorp&amp;signature=U5HLH1oCnTvaP-5pJGXtr2xjMGM=|||https://postfiles.pstatic.net/MjAyNTA2MjVfMjMg/MDAxNzUwODUxNjgwMjE2.UqZY1nH1IeHYUT-S7NxZvhmObDNeE_BQqZAQB_eGVnMg.cBnBhTlInW22xXchNnHDZoirXUjwL40lQo1GKnVqldcg.JPEG/IMG%EF%BC%BF3041.jpg?type=w80_blur|||https://postfiles.pstatic.net/MjAyNTA2MjlfMjc0/MDAxNzUxMTM3Mjk2NzE4.R0UTv3UMCrCFTybWnblmEGXEWAE5icy86azy6pfCZP0g.ACcmzYHw5x5WA3swXmJRHXa4rYQgTnyj_fSz16Yt-38g.JPEG/output%EF%BC%BF1188266674.jpg?type=w80_blur|||https://postfiles.pstatic.net/MjAyNTA2MjlfMjEy/MDAxNzUxMTM3Mjc1Nzkx.Mv2mpjeatHWS8VKfyCwPSvIVLixBqzVzsdS9bi76e_Yg.LcgxwfJrd56t78i8nDeXSg88076tGEatc2uHZRTVBvIg.JPEG/output%EF%BC%BF3172260117.jpg?type=w80_blur|||https://postfiles.pstatic.net/MjAyNTA2MjVfMjg3/MDAxNzUwODUxNjc5ODQz.crIoe23Hx9weCnUkb9LBp-nrsJ7lvEBuL6ipzrjRZ4gg.Zn18atUjZbe3FK_v-lZ19Or8N2wdfb2Qvk9IS3GFoFsg.JPEG/IMG%EF%BC%BF3043.jpg?type=w80_blur|||https://postfiles.pstatic.net/MjAyNTA2MjVfMjU1/MDAxNzUwODUxNjgwOTMx.F_hrN5UleycQzpaREwYlBsD8Xf5QgAE79Bi1YMnwFIsg.5NH3ftau7binwrNuumuPLoO5h6Aa_FwJGGB7D1PDgZIg.JPEG/IMG%EF%BC%BF3045.jpg?type=w80_blur|||https://postfiles.pstatic.net/MjAyNTA2MjlfMjIy/MDAxNzUxMTM3MTA1OTYw.argeJRWYffmCtgPyhfxRVr3V0P10VGoDUnWdS_4MMVUg.YPKoUODCGKSDIz3Jg5ogYi0m5ZRz9U8hAT6TrJM-pLAg.JPEG/output%EF%BC%BF1202843698.jpg?type=w80_blur|||https://postfiles.pstatic.net/MjAyNTA2MjVfMjQ2/MDAxNzUwODUxNjgxMzQy.8wbTi-8ROZzYQUOzvVN2fM19_UCeaZdjB4olUWqXEEwg.LrY0ecslT4TkhfYCuEiLqXZkE4xdaZreLTqSQB-Kdwgg.JPEG/IMG%EF%BC%BF3049.jpg?type=w80_blur|||https://postfiles.pstatic.net/MjAyNTA2MjVfNjEg/MDAxNzUwODUxNjgxNTUw.qBv4Ro7VP-qPP8FBpq2oAlQMtohV6qAP0u_sHfGIAT4g.54Q0mjrnAUg7-0hCVlGsdcYgtx2lIfmx9q81kcxZiF4g.JPEG/IMG%EF%BC%BF3050.jpg?type=w80_blur|||https://postfiles.pstatic.net/MjAyNTA2MjlfMTY0/MDAxNzUxMTM3MTE3NDc1.CAjT1myh3JmuwErfgzZ-10TGUAJjUL5PPO3_tJFknmcg.0QLDRNHq6E76oYWv_K5KCJS3homsn1EHgCOUwZ-cFJYg.JPEG/output%EF%BC%BF2115656652.jpg?type=w80_blur|||https://postfiles.pstatic.net/MjAyNTA2MjVfMTk5/MDAxNzUwODUxNjgxNzk4.P-oYGSnH95GNep83lJJZbVvBHQSm4hrRGsAMg8ProNkg.A2Fw90kUN1rQlsJlbe2rxi2bOVesudJLAd1hDiGaAqsg.JPEG/IMG%EF%BC%BF3054.jpg?type=w80_blur|||https://postfiles.pstatic.net/MjAyNTA2MjVfMjEw/MDAxNzUwODUxNjgyNTcw.b6uhyGZzfju-sIUBW02S2ueNYYW6XERQUIDmlZKE-ewg.PrEo20_llEWpObKU10DAy675F_GOFKS9cEYjEeBnEa0g.JPEG/IMG%EF%BC%BF3055.jpg?type=w80_blur|||https://postfiles.pstatic.net/MjAyNTA2MjVfMTk2/MDAxNzUwODUxNjgyNzE4.yrDIlwwRWaJOEO7qW7nxIK9Uth_J9LNGQpT5gG7V8DMg.ddX_qYhfAeHtd30l1c--stZI-qdtkub1iJrmgaQ6IXMg.JPEG/IMG%EF%BC%BF3056.jpg?type=w80_blur|||https://postfiles.pstatic.net/MjAyNTA2MjVfMjEy/MDAxNzUwODUxNjgyNTQx.XCVkrB_ZbjibnROVwM3I9dt_6x5gQLYZ8IfrpL4rKsog.Enue8eAYFuNj5R76KhzrmVFujibtHswMGZra5qoA4U8g.JPEG/IMG%EF%BC%BF3058.jpg?type=w80_blur|||https://postfiles.pstatic.net/MjAyNTA2MjVfNTkg/MDAxNzUwODUxNjgzMDg2.gyEx7cT9IKNEuuHHv67gIBotXnHPOzKxkw3NCHQZrFsg.A2wcEOxlyFsBzpSN--KXx63mu1e6xcGsiNwgqxNJ7mgg.JPEG/IMG%EF%BC%BF3059.jpg?type=w80_blur|||https://postfiles.pstatic.net/MjAyNTA2MjVfMjUz/MDAxNzUwODUxNjgzMzU4.4UzaKdBF95nVRFlqJdrDg0iBEmg9TTgc1wsoVBujzjIg.vhyI_pde-k_gYyXn4kHgE3ME2rCDzIy4PnCEzXVUAEog.JPEG/IMG%EF%BC%BF3060.jpg?type=w80_blur|||https://postfiles.pstatic.net/MjAyNTA2MjVfMjQy/MDAxNzUwODUxNjgzNjI1.BjI7wg393_9ChwqM1QbjusBNdK8DijbwahDgNidfCXsg.44KvELHK6Gg1IIqnAcX6iWRzMu2tgNscwN0PBT2Dm30g.JPEG/IMG%EF%BC%BF3065.jpg?type=w80_blur|||https://postfiles.pstatic.net/MjAyNTA2MjVfOTQg/MDAxNzUwODUxNjg0ODM1.TEwmtUma6_2mz741J0v9w6VAtNQUq41Nz-IqulBg6csg.FdZRJZgCqLIe18EV8WF7OyEnXXjyoIIA2n2fC3xilVIg.JPEG/IMG%EF%BC%BF3068.jpg?type=w80_blur|||https://postfiles.pstatic.net/MjAyNTA2MjVfMzUg/MDAxNzUwODUxNjg1MDg3.ikTRMYbNmgZIFepDEjHPAYr9gYKmo5ntQ6YjYR66qZwg.LlhIKge5acSJ_1EdEtK8KEiK6_4skZPw5ZhZO9sFaF4g.JPEG/IMG%EF%BC%BF3069.jpg?type=w80_blur|||https://postfiles.pstatic.net/MjAyNTA2MjVfODIg/MDAxNzUwODUxNjg0NTU2.vBoLwyONoafrJABzPO-ah2GjC7Om5EnaJmIMFBTB1Sog.S8BPyQAZ3XXa3vqw-2uzr2KVeO6-DsTfXaf4ZvMSIWYg.JPEG/IMG%EF%BC%BF3067.jpg?type=w80_blur|||https://postfiles.pstatic.net/MjAyNTA2MjVfMjYw/MDAxNzUwODUxNjg1Mjkx.eML7Cy-tqqQl6anMPZSHxP38ISAEtRZxjeQSeVbhJWYg.9PKv58rc9tAFXPN95fuY8ClygPkb7Ms2ex_3qK_rU4Ag.JPEG/IMG%EF%BC%BF3070.jpg?type=w80_blur|||https://postfiles.pstatic.net/MjAyNTA2MjVfMTM3/MDAxNzUwODUxODkxNjAw.0TqdeG_gJ2ppdq7HCVUlFJ8bBD3Gm5gU_G5PcdDc2tQg.I81dU8RyGmusBlYhDfwX-_HjBO5f2GIZH6vVE3RxVJUg.JPEG/IMG%EF%BC%BF3071.jpg?type=w80_blur|||https://postfiles.pstatic.net/MjAyNTA2MjVfMzAw/MDAxNzUwODUxODkwODkw.-HrOXWeaBVbS-6KoCYCULdzhYQEfDqWlxSnPG5d6Ypwg.--oflDEpSIh4s59Ey4anqTrqEb8S9TbMeU_YKZaSiYog.JPEG/IMG%EF%BC%BF3073.jpg?type=w80_blur|||https://postfiles.pstatic.net/MjAyNTA2MjVfOTkg/MDAxNzUwODUxODkxNjkz.KM0QYmSfpYBLFioQUjl_QjxZVxw-4xzDBb9Q2SfKl5cg.hzUtRFeBlq4jRb5yV5bg-TMRr7IFAzjR10OXEdxCbIog.JPEG/IMG%EF%BC%BF3077.jpg?type=w80_blur|||https://postfiles.pstatic.net/MjAyNTA2MjVfMjAy/MDAxNzUwODUxODkxNTQ5.un8Z_WHzeau4YplSzCBnBN2wdv1IXp_A9c0Ynf_LGu4g.3wPAUGjPF7UwyDlSN4Nd18ief9-9L8YBFdmGo5qH3Pwg.JPEG/IMG%EF%BC%BF3075.jpg?type=w80_blur|||https://postfiles.pstatic.net/MjAyNTA2MjVfMjIx/MDAxNzUwODUxODkwOTMw._zWePxHVcEPx3dPN7qWQmeCdbG-Sv1Mq8jPhrB2Q8Qkg.XHAkg8BPg28DxmL2rEq0ucDFYjMhK0_sTDT0f4Ig8a4g.JPEG/IMG%EF%BC%BF3080.jpg?type=w80_blur|||https://postfiles.pstatic.net/MjAyNTA2MjVfMjc1/MDAxNzUwODUxODkxNDY1.qY2PwC3uxfp8eY9uL73ivm1KH3UoBJYZrjXM90wCgqog.NIG-Q45EUC7g-6TQZIRCgSMuTuj3-S6fR1m04yEf6Fog.JPEG/IMG%EF%BC%BF3081.jpg?type=w80_blur|||https://postfiles.pstatic.net/MjAyNTA2MjVfNzAg/MDAxNzUwODUxODkxNzkx.omqGtvdpbXZy44bzX2V9YFzzHCgxBdy1l6msYBIZF7Yg.IGYGl8R6ZeYoOBf37E2g00kKvIazuXLy0k1cjGDPWI8g.JPEG/IMG%EF%BC%BF3084.jpg?type=w80_blur|||https://postfiles.pstatic.net/MjAyNTA2MjVfMTUz/MDAxNzUwODUxODkxNDA5.VkwKtGO-joadt8WL6KTqmrjDIFbns8_BXlRvAEyL-q4g.cV-UIAZYKTKTUlC9j4e6sTOWRxmQFENLG9RE_hgxDbIg.JPEG/IMG%EF%BC%BF3083.jpg?type=w80_blur|||https://postfiles.pstatic.net/MjAyNTA2MjVfMTYg/MDAxNzUwODUyMDMwNzg4.5G8EAtZTCj98d7kmYzF-KhPLf5ZZx4Eib1F0QEtQvNQg.w_ybPeL536zHt8SkhHKWugckFJ1LXZRC-cV18PfgNXgg.JPEG/FECF1908%EF%BC%8D2910%EF%BC%8D4D23%EF%BC%8DA5CA%EF%BC%8D4E827F12812B.jpg?type=w80_blur|||https://postfiles.pstatic.net/MjAyNTA2MjVfNjEg/MDAxNzUwODUyMDMxMDQ1.4nF3p8PtLNWWQR-R2kmOtv9f0fGO7eWRcKOAEdYdho8g.0iWG0u_ja43mgXF9uSehfe5CJw-lYHO7bKMmvMT4KD8g.JPEG/81428BD9%EF%BC%8D71BC%EF%BC%8D48C6%EF%BC%8DACF6%EF%BC%8DAF567162A8E8.jpg?type=w80_blur|||https://postfiles.pstatic.net/MjAyNTA2MjVfMjA1/MDAxNzUwODUyMDMxMTQw.4x4pKZZaDcGucBjdTg6bzb9Wcn8QtYhSguQEJOxljAQg.bNzFEN06BcCyOpn1LGyFt0npLIYQsk2srqB0d9v_shAg.JPEG/CF4FC70B%EF%BC%8D3F5A%EF%BC%8D4C08%EF%BC%8D8920%EF%BC%8D61071558BB1C.jpg?type=w80_blur|||https://postfiles.pstatic.net/MjAyNTA2MjVfMTIz/MDAxNzUwODUyMDMxMTQw.CO6cNfA2oQungPc8FoHeMPJbpndThJFjGOX-sRAPwcMg.QKIYSwN8bXeY5He_d9MuozAHihb3-ZRm-gqTYbLDOhkg.JPEG/E7FC0B04%EF%BC%8D5A8A%EF%BC%8D4F77%EF%BC%8D8315%EF%BC%8D1CF4FCB8B38F.jpg?type=w80_blur|||https://postfiles.pstatic.net/MjAyNTA2MjVfMjA0/MDAxNzUwODUyMTQ5NDQ1.MztynE2hBfZSMakbR2pQVBxeqWPzsTcM9FH4ZveDvbAg.cpsT9kzZ43CMil1fw2CZub9L-q6ihlLHI7v-o9t619Ug.JPEG/IMG%EF%BC%BF3720.jpg?type=w80_blur|||https://postfiles.pstatic.net/MjAyNTA2MjVfMjcw/MDAxNzUwODUyNzAyNDYx.a7OhFAhizBfIwb84sbNnGw1tSGEr74C5OZcBwW_81GYg.e6wOt-FGFLgVGEXPdVLr7EnykvRSE7m_wkcdCZZT-Jgg.JPEG/IMG%EF%BC%BF3183.jpg?type=w80_blur|||https://postfiles.pstatic.net/MjAyNTA2MjVfMiAg/MDAxNzUwODUyNzA1ODEz.027quYavQFkyCewkCfEJdUD9D6Plc4o0H6nojI5S3PQg.gkkfgWfUAJ4boXUtYych7sJGP42UBWAgeaRAGVqgucwg.JPEG/IMG%EF%BC%BF3182.jpg?type=w80_blur|||https://postfiles.pstatic.net/MjAyNTA2MjVfMjU4/MDAxNzUwODUyNjk5OTQ2.zJgWJcNRHIE7Rdfn_L0CrAUJpP4ShPq--sn0Rr9bZ50g.Z8HQssNxmbppzy2lTvJb4AR7nHozkarvJ-26R0MZK70g.JPEG/IMG%EF%BC%BF3232.jpg?type=w80_blur|||https://maps.googleapis.com/maps/api/staticmap?channel=naver_blog&amp;size=700x315&amp;markers=icon:https://editor-static.pstatic.net/c/resources/common/img/common-icon-places-marker-x2-20180920.png%7C33.5872002,130.401203&amp;center&amp;zoom=17&amp;scale=1&amp;path&amp;visible&amp;language=ko&amp;client=gme-nhncorp&amp;signature=89r4r6ObkBEoZyupd6WLePvYsRo=|||https://postfiles.pstatic.net/MjAyNTA2MjVfMTkg/MDAxNzUwODUyNzAwMjU2.qu5j2og0pFsfZajEfxpGQBvrIyJWIgndp0pA-Y_4r4sg.Pe__f0mgJZbQams97NGq1EseTOjHQATCuL_J3pQUM0cg.JPEG/IMG%EF%BC%BF3194.jpg?type=w80_blur|||https://postfiles.pstatic.net/MjAyNTA2MjVfMTY5/MDAxNzUwODUyNzEzMTQ4._gaecSN3lPObhcAHw3M2lvMOtYyQGtOy8h-VR18gN1Yg.RuEHqMTD0LqUOcGQxu8_8aiVbvVRw11yUdwS0Olgm9wg.JPEG/IMG%EF%BC%BF3189.jpg?type=w80_blur|||https://postfiles.pstatic.net/MjAyNTA2MjVfMzYg/MDAxNzUwODUyNzAxMDE5.l3-sqBL0eYycnoT7PlGE7iMfVvCwxD51YUbdy_Ryxxwg.YXCiTx-0KuJxmxyELu3KbJfpMVWmkdnE5uV11huPQxog.JPEG/IMG%EF%BC%BF3195.jpg?type=w80_blur|||https://postfiles.pstatic.net/MjAyNTA2MjVfMjAg/MDAxNzUwODUzMzY4ODg1.cuX0ETMxcLZVCm0W7VC1spUmPr2K2d8wrDgaovZjRyog.ZNPEFatLn3tObBRpr35b89cyKi4n6yraa0X9b3rzrvgg.JPEG/output%EF%BC%BF850018534.jpg?type=w80_blur|||https://postfiles.pstatic.net/MjAyNTA2MjVfMjMx/MDAxNzUwODUzMzE2NDc3.tCP6_3ng2zPl4QGKpUKOZG-uMOw8-Qa7Q35_QO_sNLQg.PSvqG8Dx918nK6VHc_rsQUI62rBbWlji31Si8lgWh_8g.JPEG/output%EF%BC%BF1052927594.jpg?type=w80_blur|||https://postfiles.pstatic.net/MjAyNTA2MjVfMTY0/MDAxNzUwODUyNzAxMDI1.CvH1yDD1SUupI30mdPEUPWeZEBe1qaQdHSLO0MDX9j8g.33QYiqNNKAcT_ADImhtm_myZLhJfdDe7pm3i4GHn2JMg.JPEG/IMG%EF%BC%BF3200.jpg?type=w80_blur|||https://postfiles.pstatic.net/MjAyNTA2MjlfNTQg/MDAxNzUxMTM3MjI0MTQ2.x8P26g4V6tx-9tiMwRMPiHFxJBJ3PUsNC98svxXbnMgg.Svt7sXv4T4RRwyIzDm1rnzaDw8GAJymA1KHiIGt5oZkg.JPEG/output%EF%BC%BF1428826103.jpg?type=w80_blur|||https://postfiles.pstatic.net/MjAyNTA2MjVfNDgg/MDAxNzUwODUyNzA1ODEy.z5rlrII_ByTnG3gjpGslbpYbiQUOAmSQ7nAALIYl9DEg.02S8QHSYwHCLffiCvraoXCFRykfAS9P-hGRdml85-oUg.JPEG/IMG%EF%BC%BF3204.jpg?type=w80_blur|||https://postfiles.pstatic.net/MjAyNTA2MjVfMjcw/MDAxNzUwODUyNzA1NzUy.BpUiXKsfz1y5vxUhGrygaiuOs20VnMrg6cTLPK7qA4gg.y7L_lhQNWYio4Q5GUrtZrJdZsoppg0VzdkD6BjJxuIgg.JPEG/IMG%EF%BC%BF3207.jpg?type=w80_blur|||https://postfiles.pstatic.net/MjAyNTA2MjVfNTUg/MDAxNzUwODUyNzA2MTE2.NW6IQwPudxiFLXW1BVY8ePekCxX74HtYYJ9vmejVE2cg.fI5lniACy2vfZyaEGpXjF4dZUkWEeBZupmbUID_fW7Ag.JPEG/IMG%EF%BC%BF3208.jpg?type=w80_blur|||https://postfiles.pstatic.net/MjAyNTA2MjVfMTgz/MDAxNzUwODUyNzA3MDk1.TPDdI93vAmPyXK3ktNfc8C7313P63UTfd0shm5BOiwUg.aVgwsCQ3rZVl6ApuwIn-ndmkx9kjYgJxCZj3AMyc8Pwg.JPEG/IMG%EF%BC%BF3209.jpg?type=w80_blur|||https://postfiles.pstatic.net/MjAyNTA2MjVfMjQ4/MDAxNzUwODUyNzA3MjMw.mbtDHtAWH8Wh6JEYOCFcBCZZo4ETSeb0LHd4NHbKya4g.GE0p8ZD8iz5xuRCWbxdBb6A6FIT0myehQdqs_zNbROIg.JPEG/IMG%EF%BC%BF3210.jpg?type=w80_blur|||https://postfiles.pstatic.net/MjAyNTA2MjVfMTQ2/MDAxNzUwODUyNzA3ODI1.KwoW3gRAs5lmIuqtKNLXW6zHnyTABL7-eNcRmZhOtb4g.NQ-F3FxASUWvCFnvOsl3nq5muWVsPFbg7nC23p3cI-sg.JPEG/IMG%EF%BC%BF3211.jpg?type=w80_blur|||https://postfiles.pstatic.net/MjAyNTA2MjVfMTU3/MDAxNzUwODUyNzA5MTgx.r7rb-7zGu6jf7qZPMrXJIPP0Zdmuf0zRsJZDBYJ-igwg.HuxXA_9u1-Z_d_wWonYvDdC7hM7S8vh05qMCZq8u4Zgg.JPEG/IMG%EF%BC%BF3217.jpg?type=w80_blur|||https://postfiles.pstatic.net/MjAyNTA2MjVfMTMy/MDAxNzUwODUyNzA5MTU1.ihfwLFai-dCMxA7TKyWxPTbxBACX-cVVChWqtsQGdoQg.pr40gVtq9sw9cbTCW8OCuBblkErKLWxx1lvFKVIiivsg.JPEG/IMG%EF%BC%BF3227.jpg?type=w80_blur|||https://postfiles.pstatic.net/MjAyNTA2MjVfMjE3/MDAxNzUwODUyNzA4NTc3.4kCa-4L0qjw5BBN9vFwND_4WKaZk3rd7LuxiR01qIMIg.ORmlhCF3q1UpryNofM9N0za7xKtvDk1bWqfFx31-QwMg.JPEG/IMG%EF%BC%BF3218.jpg?type=w80_blur|||https://postfiles.pstatic.net/MjAyNTA2MjVfMTE4/MDAxNzUwODUzMjg4MTk2.6LCJ5YhBzSDTaGR6EfPjVT0MqdVPbFVRieYjM8a0J4Yg.Q8S1_D0EU5qLiL9COxyr0NAaz5GRNPfkeorZZ9SUsMIg.JPEG/output%EF%BC%BF2261295881.jpg?type=w80_blur|||https://postfiles.pstatic.net/MjAyNTA2MjVfMTQg/MDAxNzUwODUyODQwOTYy.fvneheXpzvHvKRUipTjg35u8fgRuWGvOWI__ulH64HIg.KlGTEeWhtR_BYhVfCcGwIAw5Ur32QvaFZ4FigTBHwWwg.JPEG/IMG%EF%BC%BF3723.jpg?type=w80_blur</t>
  </si>
  <si>
    <t>베이직스 베이직북14 프로 BP1423FW, .. : 네이버블로그</t>
  </si>
  <si>
    <t xml:space="preserve">베이직스 2023 베이직북14 프로 코어i5 인텔 10세대, 화이트, 256GB, 8GB, WIN11 Home, BP1423FW 베이직스 2023 베이직북14 프로 코어i5 인텔 10세대, 화이트, 256GB, 8GB, WIN11 Home, BP1423FW 1. 베이직스 2023... </t>
  </si>
  <si>
    <t>blog.naver.com/uaoisoogjuibf</t>
  </si>
  <si>
    <t>https://blog.naver.com/uaoisoogjuibf/224062546486</t>
  </si>
  <si>
    <t>uaoisoogjuibf</t>
  </si>
  <si>
    <t>베이직스 2023 베이직북14 프로 코어i5 인텔 10세대, 화이트, 256GB, 8GB, WIN11 Home, BP1423FW
베이직스 2023 베이직북14 프로 코어i5 인텔 10세대, 화이트, 256GB, 8GB, WIN11 Home, BP1423FW
1. 베이직스 2023 베이직북14 프로는 인텔 10세대 코어i5 프로세서를 장착하여 성능을 제공합니다.
2. 화이트 컬러로 디자인되어 깔끔하고 세련된 외관을 자랑합니다.
3. 256GB의 내장 저장 용량으로 충분한 파일 저장 및 작업이 가능합니다.
4. 8GB의 메모리를 탑재하여 멀티태스킹 및 대용량 소프트웨어 실행에 적합합니다.
5. Windows 11 Home 운영 체제를 탑재하여 최신 소프트웨어 및 앱을 지원합니다.
6. BP1423FW 모델로 가볍고 휴대하기 편리한 사이즈로 사용자 편의성을 강조합니다.
인텔 10세대 코어i5, 256GB, WIN11 Home
.</t>
  </si>
  <si>
    <t>https://blogfiles.pstatic.net/MjAyNTExMDNfMTA1/MDAxNzYyMTA3ODU4ODkx.ATp1VyIKxRyQHgAebBmTKX5jDKo5D--34t-waP2gk18g.ldC5aSg3dKcqfG1M5j_qk58ecWzdEAW0SfQzNeOvCCkg.JPEG/cnadbg.jpg?type=w1|||https://postfiles.pstatic.net/MjAyNTExMDNfMTUx/MDAxNzYyMTA3ODUzMDU3.dGlEnqRmsPEMsh4_w8979QC3Rl4UgVdZgNffyLFci1Eg.K8oxMmuTh2WCHa5dZ5WlfEGQGTreTVXmGJJaai5Eczwg.JPEG/2025-11-03-03-23-32-ohugmtk.jpg?type=w80_blur|||https://blogfiles.pstatic.net/MjAyMjAyMDlfMjk2/MDAxNjQ0MzkwMjUxNTM0.e6JX0CGiHzLnJeo-BfocmjcElhUzyI-3u0v4fBZu6iYg.B3izNZII1zMilfBnr6sZhkJbTw0ZTYcapF4SsR_r7sQg.JPEG.kiahsuet/z2022-02.jpg</t>
  </si>
  <si>
    <t>베이직북 N-series N95, BB1624.. : 네이버블로그</t>
  </si>
  <si>
    <t xml:space="preserve">베이직스 베이직북 16 N-series N95, White, 512GB, 16GB, WIN11 Pro, BB1624FW 베이직스 베이직북 16 N-series N95, White, 512GB, 16GB, WIN11 Pro, BB1624FW 베이직스 베이직북 16 N-series N95은 탁월한 성능과... </t>
  </si>
  <si>
    <t>blog.naver.com/foriaowsjhi84</t>
  </si>
  <si>
    <t>https://blog.naver.com/foriaowsjhi84/224062524939</t>
  </si>
  <si>
    <t>foriaowsjhi84</t>
  </si>
  <si>
    <t>베이직스 베이직북 16 N-series N95, White, 512GB, 16GB, WIN11 Pro, BB1624FW
베이직스 베이직북 16 N-series N95, White, 512GB, 16GB, WIN11 Pro, BB1624FW
베이직스 베이직북 16 N-series N95은 탁월한 성능과 안정성을 자랑합니다. 512GB의 대용량 저장공간과 16GB의 램 용량은 우수한 작업 효율을 보장해줍니다. 또한, WIN11 Pro 운영체제를 탑재하여 최신 기술을 지원하고 보안성을 높였습니다. BB1624FW 색상은 심플하면서도 세련된 디자인으로 눈에 띄는 제품입니다. 전문가와 일반 사용자들 모두에게 만족스러운 성능을 제공하는 제품으로 강력히 추천합니다.
N95 마스크 지원, 대용량 저장 용량, 고성능 윈도우 프로.
.</t>
  </si>
  <si>
    <t>https://blogfiles.pstatic.net/MjAyNTExMDNfMTc4/MDAxNzYyMTA0MTk1MDYz.5IhRw9yB8qR2Dhg-vafghI0zXJc4rSi_FNO8YKftDgEg.jIm0ixjX2nx6Yp4A9OWFsuRZmkkQy-fv-N8OTkB-Py8g.JPEG/fsxued.jpg?type=w1|||https://postfiles.pstatic.net/MjAyNTExMDNfMjY0/MDAxNzYyMTA0MTg4NzEx.Broo0hY70vSkqxsaNGs1V12lUCXXlmPDnt21tAQAkJ4g.szjqpVyvX_CWRtqrAen0wzUDBnudYtkrsyyz28ZS3t4g.JPEG/2025-11-03-02-22-27-egnsdjd.jpg?type=w80_blur|||https://blogfiles.pstatic.net/MjAyMjAyMDlfMjk2/MDAxNjQ0MzkwMjUxNTM0.e6JX0CGiHzLnJeo-BfocmjcElhUzyI-3u0v4fBZu6iYg.B3izNZII1zMilfBnr6sZhkJbTw0ZTYcapF4SsR_r7sQg.JPEG.kiahsuet/z2022-02.jpg</t>
  </si>
  <si>
    <t>단독 레노버 2025 아이디어패드 슬림 3 1.. : 네이버블로그</t>
  </si>
  <si>
    <t xml:space="preserve">3.베이직스 2023 베이직북14 프로 코어i5 인텔 10세대, 화이트, 512GB, 16GB, WIN11 Home, BP1423FW ￦ 578,000원 별점 : ⭐⭐⭐⭐⭐ 3. 베이직스 2023 베이직북14 프로 코어i5 인텔 10세대, 화이트, 512GB, 16GB... </t>
  </si>
  <si>
    <t>blog.naver.com/xrtsdgqn74</t>
  </si>
  <si>
    <t>https://blog.naver.com/xrtsdgqn74/224062453303</t>
  </si>
  <si>
    <t>xrtsdgqn74</t>
  </si>
  <si>
    <t>단독 레노버 2025 아이디어패드 슬림 3 15IRH10 코어i5 인텔 13세대, Luna Grey, 256GB, 품절임박
레노버 2025 아이디어패드
1. 레노버 2025 아이디어패드
레노버 2025 아이디어패드 슬림 3 15IRH10은 강력한 인텔 13세대 코어 i5 프로세서와 세련된 Luna Grey 색상으로 당신의 일상에 완벽한 동반자가 됩니다. 256GB 저장 공간과 8GB 램으로 빠른 속도와 충분한 공간을 제공하며 Free DOS로 원하는 시스템을 자유롭게 구성하세요. 20~40대의 창의적이고 활발한 라이프스타일에 딱 맞는 가볍고 세련된 디자인 지금 바로 경험해보세요. 어디서든 자신 있게 혁신적인 작업과 여가를 즐기세요.
1.레노버 2025 아이디어패드 슬림 3 15IRH10 코어i5 인텔 13세대, Luna Grey, 256GB, 8GB, Free DOS, 83K100AGKR
￦ 809,000원
별점 : ⭐⭐⭐⭐⭐
1. 레노버 2025 아이디어패드 슬림 3 15IRH10 코어i5 인텔 13세대, Luna Grey, 256GB, 8GB, Free DOS, 83K100AGKR
가볍고 세련된 디자인과 강력한 퍼포먼스의 완벽한 조합
레노버 2025 아이디어패드 슬림 3 15IRH10은 13세대 인텔 코어 i5 프로세서와 8GB 램을 탑재하여 일상생활은 물론 업무와 학습까지 자연스럽게 소화하는 노트북입니다
Luna Grey 색상의 세련된 디자인은 언제 어디서든 주목받게 만들어주며 가볍고 슬림한 무게 덕분에 휴대성도 뛰어나죠
2. 레노버 2024 아이디어패드 슬림 3 15ABR8 15¸6 라이젠5 라이젠 7000 시리즈
실제 사용자가 느낀 강력한 성능과 빠른 속도
저도 사용하면서 깜짝 놀랐어요
13세대 인텔 코어 i5 덕분에 여러 프로그램을 동시에 켜도 끊김 없이 부드러워서 작업 효율이 확실히 높아졌어요
2.레노버 2024 아이디어패드 슬림 3 15ABR8 15¸6 라이젠5 라이젠 7000 시리즈
￦ 659,000원
별점 : ⭐⭐⭐⭐⭐
3.베이직스 2023 베이직북14 프로 코어i5 인텔 10세대, 화이트, 512GB, 16GB, WIN11 Home, BP1423FW
￦ 578,000원
별점 : ⭐⭐⭐⭐⭐
3. 베이직스 2023 베이직북14 프로 코어i5 인텔 10세대, 화이트, 512GB, 16GB, WIN11 Home, BP1423FW
어디서든 문제없이 즐기는 일상과 업무 환경
계산도 문서 작성도 영상 감상도 모두 문제없어요
15
4. 레노버 2025 아이디어패드 슬림 3 15IRU8 코어i3 인텔 13세대
실제 사용자들의 만족도와 추천
수많은 사용자들이 '가성비 최고' '휴대성 뛰어나요' '실용적이다'라고 평가하는 이유가 분명합니다
83000개 이상의 고객 리뷰에서 높은 평점과 긍정적인 피드백이 이를 증명하죠
4.레노버 2025 아이디어패드 슬림 3 15IRU8 코어i3 인텔 13세대
￦ 519,000원
별점 : ⭐⭐⭐⭐⭐
5. 레노버 2025 아이디어패드 1 15IJL7 15¸6 셀러론 N5100
지금 바로 구매하면 바로 시작하는 스마트 라이프.
지금 당장 주문하세요
써보면 후회하지 않을 선택이 될 거예요
5.레노버 2025 아이디어패드 1 15IJL7 15¸6 셀러론 N5100
￦ 339,000원
별점 : ⭐⭐⭐⭐⭐
레노버 2025 아이디어패드 끝으로 이 노트북이 당신에게 필요한 이유 실용성과 성능 그리고 스타일을 한 번에 잡은 레노버 아이디어패드 슬림 3 15IRH10은 여러분의 일상과 업무를 훨씬 더 스마트하고 편리하게 만들어줄 최고의 선택입니다</t>
  </si>
  <si>
    <t>https://blogfiles.pstatic.net//MjAyNTExMDNfODMg/MDAxNzYyMDk2NDQyMjky.QUFSalztwegMq8KlXImbHFGILB2UyaiTsIDe-GIktDUg.nik29SS0eVXX1ViPz3CtpYdxknIELkYUamKtVhzp1yIg.PNG/cupas5.png?type=w1|||https://postfiles.pstatic.net/MjAyNTExMDNfMTA4/MDAxNzYyMDk2NDQyNDk4.5YF9hUKVv1RajMeIoB_ziT5vcH6gqjeUoYZlWM6HN0Ig.XNjjwsnRhR3fA-3yV5dJxBt63dogdsbMTD7wZRAd1O4g.JPEG/image_blog0.jpg?type=w966|||https://blogfiles.pstatic.net//MjAyNTExMDNfNTAg/MDAxNzYyMDk2NDUxMjI3.2sn3S2eJP5UG2xbTWUrhSLFX351T0dGWqwWyDZbI7h4g.zPnYo1z96Tlzw2fEmguZ2eADfBVHdrJyl5_kMBTnFp8g.PNG/image_button0.png?type=w1|||https://postfiles.pstatic.net/MjAyNTExMDNfMzEg/MDAxNzYyMDk2NDQzODYz.Z1AciF9DatBBuoUbmTsZcsBQ-2eCjdCme3DBMBI3HAIg.WZHsc6Ygv0qK2LrWN_TL8Ia4P2NIV7nHbl3wmOCy3pIg.JPEG/image_blog1.jpg?type=w966|||https://blogfiles.pstatic.net//MjAyNTExMDNfMTg2/MDAxNzYyMDk2NDUyNTQw.HYqS3n-a0ej4Gk3chDA-72-lVAkFThAODjFhcoWUKIMg.pk3T5O1VunQcamHlrHjoWJ4wkTSsAX3TceNTtJmHxGcg.PNG/image_button1.png?type=w1|||https://postfiles.pstatic.net/MjAyNTExMDNfMTUg/MDAxNzYyMDk2NDQ1MzM3.ydxZwSmYHbSlpQaomrTvSI8oO7vPidL-f_e5PCwO9H4g.sxf0rHeTlqPype7wiXjkx4yipWYC10hFJPsx-ZQG5-Ug.JPEG/image_blog2.jpg?type=w966|||https://blogfiles.pstatic.net//MjAyNTExMDNfMTQg/MDAxNzYyMDk2NDUzOTAz.WCKaePqVHyz9KZw9dMDyOPLW1UNp0NKij-_Nmn1xQJMg.BeZLv7_VDMnftQso5CoUfBaxDbEipcVWSnlByJ_09G8g.PNG/image_button2.png?type=w1|||https://postfiles.pstatic.net/MjAyNTExMDNfMjM3/MDAxNzYyMDk2NDQ2Njc2.YZe9XuROiU5aPwHIFw6zrpkZMc4pXjVoSVn87G8zs1kg.rZTu64LbGe7gNMEILgtU6bcTZ9ZDho127CmUZHGeSFkg.JPEG/image_blog3.jpg?type=w966|||https://blogfiles.pstatic.net//MjAyNTExMDNfOTEg/MDAxNzYyMDk2NDU2MjM2.dyo8o675t9TQAyelJ-Z1KTq99W18LRqIkxPbbcMnDhkg.U3xP4G-Q5XIdncx8HenSfnn72IVdvRrBdZh-pAip4rcg.PNG/image_button3.png?type=w1|||https://postfiles.pstatic.net/MjAyNTExMDNfMTEx/MDAxNzYyMDk2NDQ4Mzg0.CxRlfQw8PJDqlx5ZLr2PiWNuqym64t496Je7k7C69H0g.UpxI1GSdEy2QfDkeZJf1fcPq50yRgcw1c7kspQhJGUEg.JPEG/image_blog4.jpg?type=w966|||https://blogfiles.pstatic.net//MjAyNTExMDNfMjcg/MDAxNzYyMDk2NDU3NTE3.QYPWjw2Ouc0kAKy4F979JD4xkbSJw-V8T95wZZFzQZgg.BkPWz7djV15SlGQ-oDQY7Ne7A91qxbRuVpUgVhd967Qg.PNG/image_button4.png?type=w1|||https://postfiles.pstatic.net/MjAyNTExMDNfMTk5/MDAxNzYyMDk2NDQ5ODQx.5Y-__xiYVP0H1GaqrAeNgdrddRczPkDGwel04sCnyOsg.PFT_Uiwyw-uJMHLP-tEjEYhIACmIFS-dqN7a51UEW_Qg.JPEG/image_blogs0.jpg?type=w80_blur</t>
  </si>
  <si>
    <t>수많은</t>
  </si>
  <si>
    <t>실용적인 삼성전자 갤럭시북4 울트라 NT960.. : 네이버블로그</t>
  </si>
  <si>
    <t xml:space="preserve">베이직스 2023 베이직북14 프로 코어i5 인텔 10세대, 화이트, 512GB, 16GB, WIN11 Home, BP1423FW 지금... 5.베이직스 2023 베이직북14 프로 코어i5 인텔 10세대, 화이트, 512GB, 16GB, WIN11 Home, BP1423FW ￦ 578,000원... </t>
  </si>
  <si>
    <t>blog.naver.com/akjtwrmv30</t>
  </si>
  <si>
    <t>https://blog.naver.com/akjtwrmv30/224062422687</t>
  </si>
  <si>
    <t>akjtwrmv30</t>
  </si>
  <si>
    <t>실용적인 삼성전자 갤럭시북4 울트라 NT960XGP-G72A 인텔 코어 Ultra 7 RTX4050 16인치 크리에이터 전문가 특별할인
삼성전자 갤럭시북4 울트라
1. 삼성전자 갤럭시북4 울트라
삼성전자 갤럭시북4 울트라 NT960XGP-G72A 강렬한 인텔 코어 Ultra 7과 RTX4050 그래픽으로 크리에이터의 상상을 현실로. 16인치 크기와 고사양 AI 성능까지 갖춘 이 노트북은 초보부터 전문가까지 모두를 위해 설계됐어요. 문스톤그레이 색상과 최첨단 윈도우 11로 스타일과 기능을 동시에 누리세요. 1TB 저장공간과 32GB 램으로 빠른 작업과 멀티태스킹도 걱정없어요. 지금 바로 클릭해서 나만의 크리에이터 스튜디오를 시작해보세요.
1.삼성전자 갤럭시북4 울트라 NT960XGP-G72A 인텔 코어 Ultra 7 RTX4050 16인치 크리에이터 전문가 노트북 고사양 AI 노트북, 문스톤그레이, NT960XGP-G72A, 코어Ultra7, 1TB, 32GB, WIN11 Home
￦ 3,449,000원
별점 : ⭐⭐⭐⭐⭐
1. 삼성전자 갤럭시북4 울트라 NT960XGP-G72A 인텔 코어 Ultra 7 RTX4050 16인치 크리에이터 전문가 노트북 고사양 AI 노트북, 문스톤그레이, NT960XGP-G72A, 코어Ultra7, 1TB, 32GB, WIN11 Home
크리에이터와 전문가 모두를 위한 강력한 성능 갤럭시북4 울트라 NT960XGP-G72A
이 노트북은 영상 편집 그래픽 작업 3D 디자인 등 고사양 작업을 하는 크리에이터에게 딱 맞는 선택입니다
인텔 코어 Ultra 7과 RTX4050 그래픽 카드 덕분에 복잡한 작업도 끊김 없이 빠르게 처리할 수 있어요
2. 삼성 갤럭시북4 프로360 NT960QGK-K71AU 윈도우11 포토샵 영상편집 사무용 코딩용 대학생 고사양 노트북
실제 사용 후 느낀 폭발적인 성능과 사용자 친화성.
처음 이 노트북을 받았을 때부터 기대 이상이었어요
16인치는 작업하기 딱 좋고 인텔 코어 Ultra 7이 탑재되어 있어 멀티태스킹도 매끄럽게 돌립니다
2.삼성 갤럭시북4 프로360 NT960QGK-K71AU 윈도우11 포토샵 영상편집 사무용 코딩용 대학생 고사양 노트북
￦ 3,080,000원
별점 : ⭐⭐⭐⭐⭐
3.삼성전자 갤럭시북4 프로 360 NT960QGK-KH51G 16인치 인텔 코어 울트라5 터치 디스플레이 WQXGA+ 태블릿 2in1 S펜 사무용 업무용 AI OLED 노트북
￦ 1,699,000원
별점 : ⭐⭐⭐⭐⭐
3. 삼성전자 갤럭시북4 프로 360 NT960QGK-KH51G 16인치 인텔 코어 울트라5 터치 디스플레이 WQXGA+ 태블릿 2in1 S펜 사무용 업무용 AI OLED 노트북
어떤 문제도 빠르게 해결하는 강력한 하드웨어
예전에 사용하던 노트북은 작업이 많아질수록 느려지고 버벅였어요
특히 대용량 영상 편집 시에는 무기력하게 느껴졌죠
4. 삼성 갤럭시북4 인텔 i5 15¸6인치 사무용 학생용 업무용 인강용 가성비 노트북
믿고 쓸 수 있는 팬 경험 고객들의 호평이 증명하는 신뢰성
이 제품을 구매한 후 친구들과 동료들에게도 적극 추천했어요
실제 사용한 많은 사용자들이 '속도와 화면이 기대 이상이다' '작업 효율이 눈에 띄게 좋아졌다'고 말하죠
4.삼성 갤럭시북4 인텔 i5 15¸6인치 사무용 학생용 업무용 인강용 가성비 노트북
￦ 1,119,000원
별점 : ⭐⭐⭐⭐⭐
5. 베이직스 2023 베이직북14 프로 코어i5 인텔 10세대, 화이트, 512GB, 16GB, WIN11 Home, BP1423FW
지금 바로 행동하세요. 최적의 크리에이티브 경험을 위해
이 기회만큼은 절대 놓치지 마세요
지금 구매하시면 크리에이티브 작업이 훨씬 수월해지고 일상 속에서도 성능의 진가를 체감하실 수 있습니다
5.베이직스 2023 베이직북14 프로 코어i5 인텔 10세대, 화이트, 512GB, 16GB, WIN11 Home, BP1423FW
￦ 578,000원
별점 : ⭐⭐⭐⭐⭐
삼성전자 갤럭시북4 울트라 왜 갤럭시북4 울트라를 선택해야 할까요? 이 노트북은 사용자들의 다양한 요구를 모두 충족시키는 뛰어난 성능과 신뢰성을 갖추고 있습니다</t>
  </si>
  <si>
    <t>https://blogfiles.pstatic.net//MjAyNTExMDJfMjE3/MDAxNzYyMDk0NzE0OTM1.Q3p0rFcJhKCKs9LGytEdTcIlZU0I4Q8Y9gxVUOenxiAg.riG2EcI172QOt5R4qEBgU_ucdc5vrvWcxKkuarD4sp8g.PNG/cupas5.png?type=w1|||https://postfiles.pstatic.net/MjAyNTExMDJfMTgy/MDAxNzYyMDk0NzE1MTY1.NM49AVPC2Q_sqKdY3KTFUp4lVDZm2Vqcr4_oKKtZdcQg.b2Ww8rBFKkfBbO-a6x5u5EHqbl9s52aGQAV8G4zQcucg.JPEG/image_blog0.jpg?type=w966|||https://blogfiles.pstatic.net//MjAyNTExMDJfNTcg/MDAxNzYyMDk0NzIzNzkz.Vj4FAMuNYWf_v99GxVgVerFSDcVMnvxu3X6Y8isUOTIg.nYetbzF9NBr_T6GGPtsKJSpgkOUTgOYfO7j_CyoslIUg.PNG/image_button0.png?type=w1|||https://postfiles.pstatic.net/MjAyNTExMDJfMjUg/MDAxNzYyMDk0NzE2NTM1.Ru58OtyVLZrbG-4G1MHb-DCjVw-Bbrx4t_5nOVrQa1gg.V2HdnRMNa7XQ6ihB8sDfU6ipInIaLLK8fp2sxQ0Q8sUg.JPEG/image_blog1.jpg?type=w966|||https://blogfiles.pstatic.net//MjAyNTExMDJfMjk4/MDAxNzYyMDk0NzI0OTgy.9uJjV6J0LqwO6Pe4v0VowFkGTE8a1Tx0PTvQRv2mB2wg.IMArkZCGetM7Nn-47iaOvUHa4gSkbWsMkRgmVemeQRQg.PNG/image_button1.png?type=w1|||https://postfiles.pstatic.net/MjAyNTExMDJfMjEz/MDAxNzYyMDk0NzE4MTkz.sBGzTQoxTeKsUKq9O5uiNMgAfpuTavFBQ3jDgKbgFAog.WzM1I-HsZumLeN2NnbnJ7K7_YQ8JjSxz5e32tOijcl0g.JPEG/image_blog2.jpg?type=w966|||https://blogfiles.pstatic.net//MjAyNTExMDJfMjYx/MDAxNzYyMDk0NzI2MTcw.U6s2IylgxvCLkZLrHHxKFMF3nNjvbzkMSnT2gKDLxQkg.g0ztSiukdRoJOPsCHmyjlE7aXGUYTxac04u7FaL3G3Ig.PNG/image_button2.png?type=w1|||https://postfiles.pstatic.net/MjAyNTExMDJfMjg3/MDAxNzYyMDk0NzE5NjU5.vOdY8o5xVpCOlM2kiUUBR4NhxFcrZ6aUE90qOzH7W8og.UoXyaSKswfKDuvvFQzryrZHyxFmAJNYVghD2b3v-dhEg.JPEG/image_blog3.jpg?type=w966|||https://blogfiles.pstatic.net//MjAyNTExMDJfMjQ5/MDAxNzYyMDk0NzI3NTMx.ZYQUj8whU_cRqFcKb4M6FfGCYcKfjGTMaWNclghRjd0g.RJ_7zk2ZU3y5BWAjeWapEu2wfwsjr-JsBfORTXJfXHQg.PNG/image_button3.png?type=w1|||https://postfiles.pstatic.net/MjAyNTExMDJfMjU5/MDAxNzYyMDk0NzIxMDQw.3aPQSV4PUiMgWLNcGRoGwtJA5zY6ztcue--inZ4TcWgg.eKEVdoYdryiMXifGdAzuoSKClauzoCuIRK2Y68HwJasg.JPEG/image_blog4.jpg?type=w966|||https://blogfiles.pstatic.net//MjAyNTExMDJfNDcg/MDAxNzYyMDk0NzI5NDY1.pWLg-WBnWSxJZLYtvFFCAzv9iJ8e1iEn5f-shbrKqxgg.dfTjeWbkFf7ne37lX9qNcUaCwI-qm7dHYxZR3VYxcW4g.PNG/image_button4.png?type=w1|||https://postfiles.pstatic.net/MjAyNTExMDJfNDMg/MDAxNzYyMDk0NzIyNDA3.eBICcyjI3qsqnz1qhdW1Ed5fLhRV9sNeaKhZAqn2xycg.0TCOzTJMknU9g_UD1vX1SnL1Dzbjm8uYM-oFVHL8Nokg.JPEG/image_blogs0.jpg?type=w80_blur</t>
  </si>
  <si>
    <t>했어요</t>
  </si>
  <si>
    <t>합리적 가격대 HP 2024 빅터스 15 라이.. : 네이버블로그</t>
  </si>
  <si>
    <t xml:space="preserve">베이직스 2023 베이직북14 프로 코어i5 인텔 10세대, 화이트, 512GB, 16GB, WIN11 Home, BP1423FW 나만... 4.베이직스 2023 베이직북14 프로 코어i5 인텔 10세대, 화이트, 512GB, 16GB, WIN11 Home, BP1423FW ￦ 578... </t>
  </si>
  <si>
    <t>blog.naver.com/qmxsalm364</t>
  </si>
  <si>
    <t>https://blog.naver.com/qmxsalm364/224062387554</t>
  </si>
  <si>
    <t>qmxsalm364</t>
  </si>
  <si>
    <t>합리적 가격대 HP 2024 빅터스 15 라이젠5 라이젠 8000 시리즈 지포스 RTX 4060, MicaSilver, 추천 및 후기까지
HP 2024 빅터스
1. HP 2024 빅터스
경쟁을 앞서가는 HP 2024 빅터스 15 라이젠 8000 시리즈와 지포스 RTX 4060의 강력한 조합으로 어떤 일도 무리 없이 해결하세요. 가볍고 세련된 미카실버 컬러와 512GB SSD 8GB 램으로 빠르고 안정적인 작업 환경을 제공하며 무료 DOS로 원하는 OS를 자유롭게 선택할 수 있습니다. 20~40대가 열광할 하이 퍼포먼스와 스타일리시함 모두 갖춘 이 노트북으로 자신만의 커리어를 한 단계 업그레이드하세요—지금 바로 확인해보세요.
1.HP 2024 빅터스 15 라이젠5 라이젠 8000 시리즈 지포스 RTX 4060, MicaSilver, 512GB, 8GB, Free DOS, 15-fb2061AX
￦ 1,079,000원
별점 : ⭐⭐⭐⭐⭐
1. HP 2024 빅터스 15 라이젠5 라이젠 8000 시리즈 지포스 RTX 4060, MicaSilver, 512GB, 8GB, Free DOS, 15-fb2061AX
현실에서 체감하는 강력한 게임과 작업 능력 빅터스 15 라이젠5
개인적으로 이 노트북을 사용하면서 느낀 건 정말로 강력한 성능이 일상생활과 게임에서 바로 느껴진다는 점이에요
라이젠 8000 시리즈와 지포스 RTX 4060의 조합은 무거운 프로그램도 넘나 자연스럽고 고사양 게임들도 끊김 없이 즐기게 해줍니다
2. Lenovo 2023 V15 G3 15¸6인치 FHD 비즈니스 노트북 컴퓨터, 12세대 인텔 10 코어 i5-1235U (비트 i7-1195G7), 24GB DDR4 RAM,
진짜 사용자 입장에서 느낀 뛰어난 화면과 휴대성
15인치 크기의 빅터스 15 라이젠은 휴대하기 딱 좋은 크기인데 화려한 MicaSilver 색상과 세련된 디자인 덕분에 어디서든 주목받을 수 있어요
그리고 15-fb2061AX 모델은 가볍기 때문에 외출이나 카페에서 작업할 때도 부담이 없어요
2.Lenovo 2023 V15 G3 15¸6인치 FHD 비즈니스 노트북 컴퓨터, 12세대 인텔 10 코어 i5-1235U (비트 i7-1195G7), 24GB DDR4 RAM,
￦ 1,062,600원
별점 : ⭐⭐⭐⭐⭐
3.레노버 2023 V15 G4 IRU 83A10002KR
￦ 909,000원
별점 : ⭐⭐⭐⭐⭐
3. 레노버 2023 V15 G4 IRU 83A10002KR
실제 쓴 사람들이 말하는 성능에 대한 갈증 해소 경험
예전에 사용하던 노트북은 작업이 느리거나 게임할 때 버벅거려서 항상 답답했어요
그런데 이 빅터스 15 라이젠은 그런 걱정을 싹 사라지게 만들어줬어요
4. 베이직스 2023 베이직북14 프로 코어i5 인텔 10세대, 화이트, 512GB, 16GB, WIN11 Home, BP1423FW
나만 믿고 추천하는 신뢰와 검증된 품질
수많은 사용자 리뷰와 통계를 보면 HP 빅터스 시리즈는 신뢰도가 높고 성능도 검증받았어요
제가 경험한 바로도 이 노트북은 일상부터 전문 작업까지 모두 잘 버텨내는 내구성과 안정성을 갖췄습니다
4.베이직스 2023 베이직북14 프로 코어i5 인텔 10세대, 화이트, 512GB, 16GB, WIN11 Home, BP1423FW
￦ 578,000원
별점 : ⭐⭐⭐⭐⭐
5. 레노버 아이디어패드 1 15IJL7 15용 키보드 커버IAU7 15¸6 1i 2025 2024 2023 V15 G4 G3 G2 플렉스 5 5i 16 3 3i 노트북 블랙
지금 바로 구매하세요. 빠른 결정이 기회를 잡는 길입니다
이런 성능과 디자인 가격 경쟁력까지 갖춘 제품을 놓치지 마세요
재고가 한정적이니 서두르시는 게 좋습니다
5.레노버 아이디어패드 1 15IJL7 15용 키보드 커버IAU7 15¸6 1i 2025 2024 2023 V15 G4 G3 G2 플렉스 5 5i 16 3 3i 노트북 블랙
￦ 31,900원
별점 : ⭐⭐⭐⭐⭐
HP 2024 빅터스 결론: 왜 빅터스 15 라이젠이 최고의 선택인가? 가장 중요한 건 여러분의 시간을 절약하고 만족도를 높여주는 바로 이 노트북이기 때문입니다</t>
  </si>
  <si>
    <t>https://blogfiles.pstatic.net//MjAyNTExMDJfMjI4/MDAxNzYyMDkyNzE4OTE2.7geYRYz96XG52HUX-58Fyt7OyYbMkUfXJjIrKZ--zHkg.LzAanIotlFyFio430kVzJ5LPitnaj4kkLt9TP98k7xsg.PNG/cupas5.png?type=w1|||https://postfiles.pstatic.net/MjAyNTExMDJfMjU2/MDAxNzYyMDkyNzE5MTE2.rI9vKi8sydOZIsDN_GfcXAumTqliqLnsZLf7Gi6zzc4g.EpqmzyrtRpjyEkF4g0Llru-N-Je7ElCa2XRKXh_IieAg.JPEG/image_blog0.jpg?type=w966|||https://blogfiles.pstatic.net//MjAyNTExMDJfMjIw/MDAxNzYyMDkyNzI3NDc3.h_q7JXTAEN4668M4VORg-NSeEtsac2FvLu1up-xxLfcg.i7cDkAHuFzDL8iwjG9bPQVHUjXmAbLUuynRIQsv9zh8g.PNG/image_button0.png?type=w1|||https://postfiles.pstatic.net/MjAyNTExMDJfNDIg/MDAxNzYyMDkyNzIwNjYw.vtLWrhB5erZdk6Vjyx4mAxUspNgjZTC_mn8eevD6OZog.hCEWwpVjOTriQQMJX_f29dizO4c2Fuus3bJWMA9awtAg.JPEG/image_blog1.jpg?type=w966|||https://blogfiles.pstatic.net//MjAyNTExMDJfMjM2/MDAxNzYyMDkyNzI4Njky.RIvG23Xq2skr--GNl5uuYKwEg_e6dwRuWYgW1iCrSkAg.p-UTJuuTAk1bMSSZN3XIH-jqjqAWfB6iGLkYpvOq4vgg.PNG/image_button1.png?type=w1|||https://postfiles.pstatic.net/MjAyNTExMDJfMjkg/MDAxNzYyMDkyNzIyMDI3.mQGtCtwHjX-gRIFnkjpX3OmDnoijPr5iqRvjBQg9VDIg.ftFUuczEi_861lX-xpTLTuuj7aFsMRfcZtciA5Zp8BEg.JPEG/image_blog2.jpg?type=w966|||https://blogfiles.pstatic.net//MjAyNTExMDJfMjc2/MDAxNzYyMDkyNzI5ODYz.L9s1-eG_grbFTTf5eAl7sO76a26u0PYqjt3pyWq9f0sg._dLmKLk4y73onMW5m42jP3ivvUUgn1P5PvY0cjwr8bkg.PNG/image_button2.png?type=w1|||https://postfiles.pstatic.net/MjAyNTExMDJfMTAg/MDAxNzYyMDkyNzIzMzYx.zbXcMdsaDCcqhpl3w2loCbs4LExO1x56ACWwf0ZnU5wg.X9yNrgjQREEzE0lH9G8FCzvtPAgJOXvS36En3d4WI9wg.JPEG/image_blog3.jpg?type=w966|||https://blogfiles.pstatic.net//MjAyNTExMDJfMjk4/MDAxNzYyMDkyNzMxMDUw.dSl2ZfaP1B8QIl8NN2YrNF77TOmM1ifFDAZD4pt1NAgg.cHr2-WK47Op31cKAhkqOpZCuE1pz-cVWSImQjBQHADkg.PNG/image_button3.png?type=w1|||https://postfiles.pstatic.net/MjAyNTExMDJfMTQx/MDAxNzYyMDkyNzI0Njk3.QiRDvxRob5B3hfs6H84ugeeR6xlQbZHE1SYC4ZbAgQcg.C0jtpdMztroy8OxYHS-RlmhvQN8sw4iBCj6UeseW6vog.JPEG/image_blog4.jpg?type=w966|||https://blogfiles.pstatic.net//MjAyNTExMDJfMTE5/MDAxNzYyMDkyNzMyMjM2.3kWN1Y7S_aZF1_hRXT-sTRYmNoNkEFMrtCXTP7ypGhsg.hyQ77O8siUfiywuU_BfEdiwkttA0uohqzuLKBKdzbQEg.PNG/image_button4.png?type=w1|||https://postfiles.pstatic.net/MjAyNTExMDJfMTQ1/MDAxNzYyMDkyNzI2MDY0.EWRd6fPm019mPcb3gnDIXLQNS9fsqrsO3B1TJ59xG30g.gCwXE9tqrBaHx2xXXbz6-tXYLFFh4XTDB9oXPe8kAk0g.JPEG/image_blogs0.jpg?type=w80_blur</t>
  </si>
  <si>
    <t>트렌디한 마이크로소프트 서피스 고4 N200 .. : 네이버블로그</t>
  </si>
  <si>
    <t xml:space="preserve">베이직스 2024 베이직북 16 N-시리즈, White, 512GB, 16GB, WIN11 Home, BB1624FW 실제 사용 후 만족도 95... 4.베이직스 2024 베이직북 16 N-시리즈, White, 512GB, 16GB, WIN11 Home, BB1624FW ￦ 638,000원 별점... </t>
  </si>
  <si>
    <t>https://blog.naver.com/akjtwrmv30/224062335685</t>
  </si>
  <si>
    <t>트렌디한 마이크로소프트 서피스 고4 N200 RAM 8GB Wi-Fi Win11 Pro For Business + 품절임박
마이크로소프트 서피스 고4
1. 마이크로소프트 서피스 고4
확실한 업무 효율과 세련된 디자인을 동시에 누리고 싶다면? 마이크로소프트 서피스 고4 N200은 8GB 램과 윈도우 11 프로로 전문적인 업무 환경을 지원하며 키보드 타입커버 세트가 함께 제공돼 어디서나 빠르고 편리하게 작업할 수 있어요. 가볍고 휴대하기 쉬운 이 노트북이 일상과 비즈니스를 혁신하는 데 어떤 역할을 할지 궁금하지 않나요? 지금 바로 경험해보세요.
1.마이크로소프트 서피스 고4 N200 RAM 8GB Wi-Fi Win11 Pro For Business + 키보드 타입커버 세트
￦ 918,000원
별점 : ⭐⭐⭐⭐⭐
1. 마이크로소프트 서피스 고4 N200 RAM 8GB Wi-Fi Win11 Pro For Business + 키보드 타입커버 세트
작지만 강력한 성능 어디서든 나만의 작업 공간을 만들어주는 서피스 고4
일상에서나 비즈니스 환경에서나 언제든 빠르고 안정적인 작업이 필요하셨나요? 마이크로소프트 서피스 고4 N200은 8GB 램과 최신 Win11 Pro가 탑재되어 가볍지만 강력한 성능을 자랑합니다
무거운 무게와 복잡한 설정 없이도 바로 사용할 수 있어 어디서든 편리하게 업무를 처리할 수 있어요
2. 마이크로소프트 서피스고4 N200 8GB 64GB Win11 Pro (XGT-00013) For Business
실제 사용자의 입장에서 느낀 직관적이고 쉬운 사용법
처음에는 새로운 기계라 조금 헷갈릴까 걱정했는데 사용해보니 정말 직관적이에요
윈도우 11이 깔려 있어서 익숙한 인터페이스로 바로 적응했고 키보드 타입커버 세트 덕분에 노트북과 태블릿의 장점을 동시에 만끽할 수 있어요
2.마이크로소프트 서피스고4 N200 8GB 64GB Win11 Pro (XGT-00013) For Business
￦ 799,000원
별점 : ⭐⭐⭐⭐⭐
3.마이크로소프트 2023 서피스 고 4 10¸5 N-시리즈 인텔 12세대
￦ 799,000원
별점 : ⭐⭐⭐⭐⭐
3. 마이크로소프트 2023 서피스 고 4 10¸5 N-시리즈 인텔 12세대
작고 가벼운 디자인 이동이 많은 업무도 문제없어요
무게는 딱 휴대하기 좋은 수준이고 크기도 작은 편이라 가방에 쏙 들어가요
출근길 카페 회의실 어디서든 쉽게 꺼내어 사용할 수 있으니 업무와 여가를 자연스럽게 넘나들게 되죠
4. 베이직스 2024 베이직북 16 N-시리즈, White, 512GB, 16GB, WIN11 Home, BB1624FW
실제 사용 후 만족도 95⁒ 이상. 검증된 제품인 이유
수많은 사용자들이 추천하는 이유는 바로 성능과 신뢰성 때문이에요
8GB 램과 Win11 Pro가 정말 빠른 실행 속도와 안정성을 보장해줍니다
4.베이직스 2024 베이직북 16 N-시리즈, White, 512GB, 16GB, WIN11 Home, BB1624FW
￦ 638,000원
별점 : ⭐⭐⭐⭐⭐
5. 베이직스 2023 베이직북14 프로 코어i5 인텔 10세대, 화이트, 512GB, 16GB, WIN11 Home, BP1423FW
지금 바로 선택해야 하는 이유. 한정 프로모션 진행 중
이 제품은 재고가 빠르게 소진되고 있어서 지금 구매하지 않으면 후회할 수 있어요
키보드 타입커버 세트까지 포함된 특별 세트로 추가 비용 없이 더 편리하게 사용할 수 있습니다
5.베이직스 2023 베이직북14 프로 코어i5 인텔 10세대, 화이트, 512GB, 16GB, WIN11 Home, BP1423FW
￦ 578,000원
별점 : ⭐⭐⭐⭐⭐
마이크로소프트 서피스 고4 마지막으로 이 작은 기기가 가져다줄 혁신을 믿으세요 서피스 고4는 단순한 태블릿이 아니라 당신의 일상과 업무를 새로 정의할 수 있는 혁신적인 도구입니다</t>
  </si>
  <si>
    <t>https://blogfiles.pstatic.net//MjAyNTExMDJfODYg/MDAxNzYyMDg5NzE2NzY3.YqAjLzkYngGT5gbC_Fqa1U0pGjGlUkHlnwfCduxZPRsg.4abI1-CJ0sSo1bFes-27js7CwzViXePlqDe5jOc9H4kg.PNG/cupas5.png?type=w1|||https://postfiles.pstatic.net/MjAyNTExMDJfMTQ2/MDAxNzYyMDg5NzE2OTkx.lVRS2NUW1Qt8ueMwwGXvYKHI6yskquF64iJNmDNg6CUg.xoSRCozn-kg7LeFVqc-btVNjQfxD_J0PaXsTr0f-cCAg.JPEG/image_blog0.jpg?type=w966|||https://blogfiles.pstatic.net//MjAyNTExMDJfMTcz/MDAxNzYyMDg5NzI1MjIw.bEHV9vGrPP9AKb8AilTz3JELmwxmyBwq0QP4RNt46cYg._9iZjjZKGEocTc4dJ0x1Nt9mO1p2m1j76pKJPQjxj9Ag.PNG/image_button0.png?type=w1|||https://postfiles.pstatic.net/MjAyNTExMDJfMTAx/MDAxNzYyMDg5NzE4Mzcy.90TL7xxWjXOuTdwqfeGW763O0DrtLOQwU623msZfNYog.SRVg8kCQcfKO63vVkBgAV_fpe9OVQcOMR2aZLc4iiQcg.JPEG/image_blog1.jpg?type=w966|||https://blogfiles.pstatic.net//MjAyNTExMDJfOTAg/MDAxNzYyMDg5NzI2NDQ5.imNw4Uqb5KEU8jBa5j5YvDsgr6GDzE10BzrgvpxL4qEg.JxOMdSYKMCzdlGHBLNVpOr6JzotkL_6HnR3T0X6z2A0g.PNG/image_button1.png?type=w1|||https://postfiles.pstatic.net/MjAyNTExMDJfMTg1/MDAxNzYyMDg5NzE5ODE2.v6Yd4_K7_CIdqPdluhpbgmjqgqYY9VqMz2tInDXSSEUg.eZ0oGF5GkZDGjTvqko3QxdXDCicrTZ0C6MjnjPuBUaIg.JPEG/image_blog2.jpg?type=w966|||https://blogfiles.pstatic.net//MjAyNTExMDJfMjE3/MDAxNzYyMDg5NzI3NjY1.pfYPgQQirhXVAzPL0JCi-yYPOoED5aRThFpB86huTvQg.y0Zb3sMYd3ORQVCbW6C9PgxutNfFizZ1CHqAkdVg0Sgg.PNG/image_button2.png?type=w1|||https://postfiles.pstatic.net/MjAyNTExMDJfMTAz/MDAxNzYyMDg5NzIxMTUz.lZXSIvKVVx7MbPV7fCNusfwI2nYqJ8TUBRo-1ld4KKQg.iSGMZczedJivGUQbtl9Izgkn_hl6Nsd71ZRJ_sLzJ5Ag.JPEG/image_blog3.jpg?type=w966|||https://blogfiles.pstatic.net//MjAyNTExMDJfMjE3/MDAxNzYyMDg5NzI4ODQ2._QhiW83251GeXuUCsPvUPPs1Nk503asHVxxoX2DZ8HIg.VJKC3gWQ0X-lvrN6JL5MdvEcLt9FCflBwJXPKKttRBgg.PNG/image_button3.png?type=w1|||https://postfiles.pstatic.net/MjAyNTExMDJfMTYg/MDAxNzYyMDg5NzIyNTM4.VgHg4K6alhWJiZDIEOgVA2KsRxH56NpFnc7jWnPJ7lgg.zwej3aqamEgF8iS7eVhAh5C5yjox0tlC1eDkAFfR4Xgg.JPEG/image_blog4.jpg?type=w966|||https://blogfiles.pstatic.net//MjAyNTExMDJfMTI0/MDAxNzYyMDg5NzMwMDI1._s7iOEgYzLXVsJrbJwNkqhEjjneLfOJfr62-IvzhjkAg.jFKLjYABOHn07HSCyU3v1qNbtab1rlIUoefeewEFRzQg.PNG/image_button4.png?type=w1|||https://postfiles.pstatic.net/MjAyNTExMDJfMjE3/MDAxNzYyMDg5NzIzODkx._-YF-IPxP9z1mYHh2baHzRi6S7LifVu7B-S6RHpiMzsg.0saZy37MPvZ13wJgl0kxzr27I809sq-paGzO8W_QwMgg.JPEG/image_blogs0.jpg?type=w80_blur</t>
  </si>
  <si>
    <t>사생활보호필름 찾는다면? 아이폰 유저가 극찬한.. : 네이버블로그</t>
  </si>
  <si>
    <t xml:space="preserve">베이직스 사생활보호필름 제로미스 360도 사생활보호필름 출퇴근길 지하철 안의 불편함에서 시작된... 제가 선택한 제품은 바로 ‘베이직스 제로미스 360도 사생활보호필름’이에요. 결과적으로 말씀드리자면... </t>
  </si>
  <si>
    <t>blog.naver.com/yyyy5428</t>
  </si>
  <si>
    <t>https://blog.naver.com/yyyy5428/224062330524</t>
  </si>
  <si>
    <t>yyyy5428</t>
  </si>
  <si>
    <t>베이직스 사생활보호필름
제로미스 360도 사생활보호필름
출퇴근길 지하철 안의 불편함에서 시작된 고민
요즘 날이 부쩍 추워졌죠? 코트 단단히 여미고 핸드폰만 바라보며 출근하는 시간, 사실 제일 신경 쓰이는 건 따로 있어요. 바로 옆자리 사람의 시선이요. 특히 카톡이나 메모 앱 열어볼 때마다 '혹시 이거 다 보이는 거 아니야?' 싶어서 괜히 핸드폰을 더 가리게 되더라고요.
그렇게 한참을 고민하다가 드디어!
아이폰 사생활보호필름을 구매하게 됐어요. 제가 선택한 제품은 바로 ‘베이직스 제로미스 360도 사생활보호필름’이에요. 결과적으로 말씀드리자면… 진작 쓸 걸 그랬어요!
베이직스 제로미스? 뭔가 싶다면 한 번 찾아보니 스마트폰 악세사리 쪽에서 꽤 유명하더라고요.
특히 이 제로미스 보호필름은 360도 전 방향 사생활 보호가 된다는 점에서 눈길이 갔어요.
보통 시야각 차단 필름은 좌우로만 가려지는데, 얘는 위아래까지 케어가 가능하다고 해서 좀 더 믿음이 갔달까요?
제품 설명만 보면 너무 완벽해서, 반신반의하며 구매했어요. 그런데 직접 붙이고 출근길에 써보니, 왜 리뷰가 다 좋았는지 알겠더라고요.
보통 보호필름 붙일 때 그 미세한 먼지 하나 때문에 실패한 적 많잖아요. 그래서 이번에도 긴장 바짝 했는데 이 제품은 붙이는 방식이 너무 간단해서 똥손도 OK였어요.
위치 맞추는 가이드가 동봉되어 있어서 정렬 걱정 NO
기포 없이 쫙 밀착됨 (진짜 스트레스 없음)
손가락으로 꾹꾹 누르기만 하면 끝!
붙이고 나서 한 번에 잘 붙었을 때 그 쾌감 아시죠? 😎
실사용 후기: 시선 차단 확실하게 됩니다
다음 날 아침, 출근길 지하철에서 시험해봤어요.
딱히 티는 안 나는데 옆에 앉은 분이 고개를 돌려도 제 화면을 제대로 못 보는 게 느껴졌어요.
그냥 까맣게 보인달까요?
특히 카톡이나 일정표 회사 메일 같이 사적인 내용을 볼 땐 훨씬 안심되더라고요.
이게 진짜 사생활 보호지! 싶었어요.
무엇보다 좋았던 건, 정면에서는 화면이 아주 또렷하게 보인다는 점이었어요.
사생활보호필름 쓰면 화면이 어둡고 탁해진다는 얘기도 많잖아요. 근데 베이직스 제로미스는 그런 불편함 없이 꽤 밝고 선명해서 만족스러웠어요.
화면보호 기능도 톡톡히!
사생활 보호만 되는 게 아니라, 기본적인 스크래치 방지, 외부 충격 완화 기능도 챙겨주는 게 이 제품의 장점이에요.
일단 지문이나 기름 자국도 적게 남고 가방에 핸드폰 막 넣어도 흠집이 거의 생기지 않더라고요.
지금 2주 정도 사용 중인데, 여전히 화면이 말끔하게 유지되고 있어요.
사생활 보호필름 붙이기 전 &amp; 후 비교
이런 분들께 추천해요!
지하철, 버스 출퇴근길에 스마트폰 사용 많으신 분
옆 사람 눈치 보지 않고 메모나 카톡 확인하고 싶은 분
화면 보호와 사생활 보호, 둘 다 포기 못 하는 분
‘붙이는 거 어렵지 않을까’ 걱정하는 똥손 유저
'필름 하나로 얼마나 차이가 있을까?' 싶었는데, 이젠 사생활 보호필름 없는 스마트폰은 상상도 안 돼요.
베이직스 제로미스 360도 보호필름은 시야각 차단은 물론이고, 붙이기 쉬운 구성, 화면 선명도까지 모든 게 만족스러웠어요.
출퇴근길 나만의 스마트폰 공간을 지키고 싶은 분들께 강력 추천합니다.
오늘도 여러분의 소중한 사생활 제대로 지켜보세요! 💼📱
제로미스 360도 사생활보호필름 실패없이 붙히는 휴대폰 액정보호필름2P 아이폰17 프로, 2매입 : 베이식스
[베이식스] Always new and better
smartstore.naver.com</t>
  </si>
  <si>
    <t>https://postfiles.pstatic.net/MjAyNTExMDJfMjY3/MDAxNzYyMDg4OTg3ODcw.LYZhIgfI549sF68TwBIHLRyUF79tpmnV3BvTvUW0QwIg.qgcjoWqdbxcGqjnfckzYwZ8OWY2gaeRV5YIMotwnm0og.JPEG/%EB%B3%B4%ED%98%B8%ED%95%84%EB%A6%84-3.jpg?type=w80_blur|||https://postfiles.pstatic.net/MjAyNTExMDJfMTk4/MDAxNzYyMDg5MDA3Njk0.LBvKiuMTIo_RJSy2_w6eBkhZHbT8O-ZnZMoSOA2129og.yNR2TbDinX5Mt7Z030oxdSkSwobhn6iiY8x8eNmKKrsg.JPEG/%EB%B3%B4%ED%98%B8%ED%95%84%EB%A6%84-2.jpg?type=w80_blur|||https://postfiles.pstatic.net/MjAyNTExMDJfMjY2/MDAxNzYyMDg5MDA3MDY3._bIcgQPqWsH_w-jYs4fFUztJCasElogU0J5RLNqNo5Ag.llN5NTl6CatmYY5_O0LX1Ih9O8A6cFH-mWJAkatdn8Mg.JPEG/%EB%B3%B4%ED%98%B8%ED%95%84%EB%A6%84-4.jpg?type=w80_blur|||https://postfiles.pstatic.net/MjAyNTExMDJfMTE5/MDAxNzYyMDg5MDA3NjUx.01oHaAl53iFzNVHdlmBA-XeQPPhpXFy6wX3q7x_hh4Ug.79WnpGUO_e0G-XeTHaPkM3bGPkh7eVFpl0N5b9BXgN4g.JPEG/%EB%B3%B4%ED%98%B8%ED%95%84%EB%A6%84-5.jpg?type=w80_blur|||https://postfiles.pstatic.net/MjAyNTExMDJfMjYy/MDAxNzYyMDg5MDA3Mjcx.TG1TbZ46NAd5eoCX0_A-1kY7LNnMyzu1m8o956dj1BIg.KQZsHQDPgSMzGYHGkyquY4_qdvYfqWHLSMcIqk_GpTcg.JPEG/%EB%B3%B4%ED%98%B8%ED%95%84%EB%A6%84-6.jpg?type=w80_blur|||https://postfiles.pstatic.net/MjAyNTExMDJfMjA3/MDAxNzYyMDg5MDA3NjQ0.fQQ9-zjqq_himRCWxC_n0wPJ-UNGCHXJo9xcX2nt6nog.Imn-Do7ceYZh6q2JEQ1NviBsOetf5LSpX-K6Z-Zl0LEg.JPEG/%EB%B3%B4%ED%98%B8%ED%95%84%EB%A6%84-8.jpg?type=w80_blur|||https://postfiles.pstatic.net/MjAyNTExMDJfMjM1/MDAxNzYyMDg5MDA3MzY1.GkZYvqlWLIc2SfbhQCheG8A5k1Q5e8rB2KLuGwkiRf8g.xpVU0Yhto9NShkBLDpQ1es_w3gDK0zBxXtDIKnfTIPcg.JPEG/%EB%B3%B4%ED%98%B8%ED%95%84%EB%A6%84-7.jpg?type=w80_blur|||https://postfiles.pstatic.net/MjAyNTExMDJfNTkg/MDAxNzYyMDg5MDA4NTUw.z9knxUTaJdV1yIzXQ42cEW5tYi_k6-DpR9hSDl57khYg.xrhLDJYBar3yGvFm1mCqRETE0KkUolyhgZtTXLT-KFIg.JPEG/%EB%B3%B4%ED%98%B8%ED%95%84%EB%A6%84-9.jpg?type=w80_blur|||https://postfiles.pstatic.net/MjAyNTExMDJfMTM2/MDAxNzYyMDg5MDA4ODM2.4KG3Yu_mxvEg325BPKdxNk_XAIjtxhgBHZmMvmRlKesg.OLW9rGXk7vFR4gwnFKuPdaYVUwDVgAx40r8Mop9Dzxgg.JPEG/%EB%B3%B4%ED%98%B8%ED%95%84%EB%A6%84-10.jpg?type=w80_blur|||https://postfiles.pstatic.net/MjAyNTExMDJfMjgx/MDAxNzYyMDg5MDA5MTk5.MYJuhWH2xS8uzjj7U92JX3JdjOELj9eI2b4r8KVIHg8g.4n_1P6HSGdMX9K9ULGuNDrnBXCkViW4WBv6LwRM_h_Qg.JPEG/%EB%B3%B4%ED%98%B8%ED%95%84%EB%A6%84-11.jpg?type=w80_blur|||https://postfiles.pstatic.net/MjAyNTExMDJfMjQ5/MDAxNzYyMDg5MDA5MjU2.bJ3d7QBUuzRokDk-A3TcoD0rDtsZufY1OPe_2FiOrqcg.2DNc2u2AM2AbfJra_Igw2OEDJFbjVpCSy5jQ6QcWnjEg.JPEG/%EB%B3%B4%ED%98%B8%ED%95%84%EB%A6%84-12.jpg?type=w80_blur|||https://postfiles.pstatic.net/MjAyNTExMDJfMyAg/MDAxNzYyMDg5MDA5MzM1.pGOM7dCwhwz0UO0pNNSEOtZd7HF1ozY8LFlVcnAGx9Ug.gZz3NTOv2JW49VBF02onhhqUHAwschM12vPr3p619LIg.JPEG/%EB%B3%B4%ED%98%B8%ED%95%84%EB%A6%84-13.jpg?type=w80_blur|||https://postfiles.pstatic.net/MjAyNTExMDJfMTgg/MDAxNzYyMDg5MDEwODg0.QvoJc1bFVV5FFAOYikAINIRE1MWh9-9ZqY4gxvt5szog.Wtjh8m2tqi_RGROxvk7Tz7HkOMZvXz9yIL-kSI9-yfsg.JPEG/%EB%B3%B4%ED%98%B8%ED%95%84%EB%A6%84.jpg?type=w80_blur|||https://postfiles.pstatic.net/MjAyNTExMDJfNyAg/MDAxNzYyMDg5MDA5NzM0.3bELvX_1r8xep3VQFCqPhGw56MMfIwvbKuSt4WB6eeog.A4cj33h-4_M1ViB1qOkvMpEcRLuJqQmsLzH56DcjO5Ag.JPEG/%EB%B3%B4%ED%98%B8%ED%95%84%EB%A6%84-14.jpg?type=w80_blur|||https://postfiles.pstatic.net/MjAyNTExMDJfMTcy/MDAxNzYyMDg5MDEwMDA5.cumD0TXwc8pq6tk9LH055feg2kl91luxIVJmIcQM5wcg.2SpzfaHPHziWIpapu-9ZbQNXtxdWHJrrS-REVgP9GsAg.JPEG/%EB%B3%B4%ED%98%B8%ED%95%84%EB%A6%84-15.jpg?type=w80_blur|||https://postfiles.pstatic.net/MjAyNTExMDJfMTU4/MDAxNzYyMDg5MDEwMjg2.4qajJKM94poYrghR_OcQex5PP4tLq-5iMlUUeSHxtE8g.eP8w0Pqm1FCwFD7SG6KgYb_w4M5MwkHKjapAumo5XW8g.JPEG/%EB%B3%B4%ED%98%B8%ED%95%84%EB%A6%84-16.jpg?type=w80_blur|||https://dthumb-phinf.pstatic.net/?src=%22https%3A%2F%2Fshop-phinf.pstatic.net%2F20250827_72%2F1756270559961DwCen_JPEG%2F90403376099819929_42801919.jpg%3Ftype%3Do1000%22&amp;type=ff500_300</t>
  </si>
  <si>
    <t>해요</t>
  </si>
  <si>
    <t>신상품 베이직스 2024 베이직북 16 N-시.. : 네이버블로그</t>
  </si>
  <si>
    <t xml:space="preserve">신상품 베이직스 2024 베이직북 16 N-시리즈, White, 512GB, 16GB, WIN11 Home, BB1624FW 선착순 베이직스 2024 베이직북 1. 베이직스 2024 베이직북 당신의 일상과 창의력을 한 단계 업그레이드할 베이직스... </t>
  </si>
  <si>
    <t>blog.naver.com/jmtbvpr100</t>
  </si>
  <si>
    <t>https://blog.naver.com/jmtbvpr100/224062322223</t>
  </si>
  <si>
    <t>jmtbvpr100</t>
  </si>
  <si>
    <t>신상품 베이직스 2024 베이직북 16 N-시리즈, White, 512GB, 16GB, WIN11 Home, BB1624FW 선착순
베이직스 2024 베이직북
1. 베이직스 2024 베이직북
당신의 일상과 창의력을 한 단계 업그레이드할 베이직스 2024 베이직북 16 N-시리즈. 깔끔한 화이트 디자인과 빠른 512GB 저장 용량 16GB 메모리 윈도우 11 Home 탑재로 어디서든 최상의 퍼포먼스를 경험하세요. 세련됨과 성능을 동시에 챙기고 싶은 20-40대에게 딱 맞는 선택. 지금 바로 만나보세요—당신의 일상이 더 스마트해집니다.
1.베이직스 2024 베이직북 16 N-시리즈, White, 512GB, 16GB, WIN11 Home, BB1624FW
￦ 638,000원
별점 : ⭐⭐⭐⭐⭐
1. 베이직스 2024 베이직북 16 N-시리즈, White, 512GB, 16GB, WIN11 Home, BB1624FW
쉽고 빠른 일상 업무 베이직스 2024 베이직북 16 N-시리즈로 해결하세요
일상 속에서 자주 사용하는 노트북이지만 성능이 부족하거나 무거워서 불편했던 경험이 있으신가요? 베이직스 2024 베이직북 16 N-시리즈는 가벼운 무게와 뛰어난 성능을 동시에 갖추어 언제 어디서나 빠르고 편리하게 작업할 수 있도록 도와줍니다
깔끔한 화이트 색상과 넉넉한 16GB 램 512GB SSD로 여러분의 일상이 더욱 풍성해질 거예요
2. 베이직스 2023 베이직북14 프로 코어i5 인텔 10세대
현실적인 사용 후기를 바탕으로 저는 솔직히 말해 효율이 눈에 띄어요
처음엔 가벼워서 디자인만 좋아 보였는데 쓰다 보니 정말 빠른 부팅과 안정적인 작동 덕분에 놀랐어요
평소 오피스 작업이나 인터넷 검색 간단한 영상 편집까지 원활히 진행돼서 더 이상 느려서 답답했던 기억은 없어요
2.베이직스 2023 베이직북14 프로 코어i5 인텔 10세대
￦ 578,000원
별점 : ⭐⭐⭐⭐⭐
3.베이직스 베이직북 16 N-series N95, White, 256GB, 8GB, WIN11 Pro, BB1624FW
￦ 538,000원
별점 : ⭐⭐⭐⭐⭐
3. 베이직스 베이직북 16 N-series N95, White, 256GB, 8GB, WIN11 Pro, BB1624FW
개인적 문제도 딱 해결하는 뛰어난 성능과 기능 덕분에 살림이 편해졌어요
이전 노트북은 불필요하게 무겁고 배터리도 자주 방전되었어요
그런데 베이직스 2024 베이직북은 가벼워서 휴대도 쉽고 배터리도 오래 가서 언제든지 사용할 수 있어 정말 만족스럽습니다
4. 베이직스 2024 베이직북 14 N-시리즈
1000명 이상의 사용자들이 추천하는 신뢰도 높은 제품 이미 검증된 선택
수많은 고객들이 이 노트북을 사용하는 이유는 확실한 성능과 합리적인 가격 덕분이에요
고객 만족도 95⁒ 실제 사용자 후기도 '속도와 가벼움에 감탄했다'는 평가가 많죠
4.베이직스 2024 베이직북 14 N-시리즈
￦ 458,000원
별점 : ⭐⭐⭐⭐⭐
5. 베이직스 2024 베이직북 14 N-시리즈
지금 바로 결정하세요. 한정 수량 특가 프로모션 진행 중입니다
지금 이 순간만 특별히 더 저렴한 가격에 구매하실 수 있어요
재고가 빨리 소진될 수 있으니 서두르세요
5.베이직스 2024 베이직북 14 N-시리즈
￦ 393,000원
별점 : ⭐⭐⭐⭐⭐
베이직스 2024 베이직북 최고의 선택을 위한 이유 베이직스 2024 베이직북 16 N-시리즈로 더 나은 일상을 시작하세요 이 노트북은 일상과 업무 모두를 커버하는 최고의 선택입니다</t>
  </si>
  <si>
    <t>https://blogfiles.pstatic.net//MjAyNTExMDJfMjcg/MDAxNzYyMDg4OTIyMjUy.odAvKmW9qx6htS15JEfOlgoNLZRUCE6qgRRLwR9r2lAg.0q94bE6ulAirwYeowwN9NxZRPHjt_vPgQtA3-TbF75sg.PNG/cupas5.png?type=w1|||https://postfiles.pstatic.net/MjAyNTExMDJfMjY2/MDAxNzYyMDg4OTIyNDM1.Ubb2AiRGWJYkcJi465nwPB9X7ke4VfQwK4U3_hz57M4g.mavB76x8NfBmYB38e2NN91LfS164WTI9MQ69F7YSeYEg.JPEG/image_blog0.jpg?type=w966|||https://blogfiles.pstatic.net//MjAyNTExMDJfNzIg/MDAxNzYyMDg4OTMxMTk0.J3szzrNFzrYUX8F9ZI7n3Zc8Ulhj-Oo4XrzqKRKohAAg.J0abMa5wyDt6W-9AGN9IHeYbwJXbxuWfnr_WK8j5cTgg.PNG/image_button0.png?type=w1|||https://postfiles.pstatic.net/MjAyNTExMDJfMjM1/MDAxNzYyMDg4OTIzODYz.EOKuQ3GeyIJ94uYrDeMEJHUADSZ5JwI1Sx6a-WWq_VEg.wYVVjP8-q1l-eousKk14jutCiDutwPy7cRMNfG4DwZ0g.JPEG/image_blog1.jpg?type=w966|||https://blogfiles.pstatic.net//MjAyNTExMDJfMjQ2/MDAxNzYyMDg4OTMyMzk4.g4vU4e2KDGJS4fQAoWh2y9pFJ3syIj1w-ETNai0tSnEg.0bFHPoqvdkqmiiqA7q6opJsc87ZKygjcRyRQiwDqWgEg.PNG/image_button1.png?type=w1|||https://postfiles.pstatic.net/MjAyNTExMDJfNTUg/MDAxNzYyMDg4OTI1Mzk2.t3sTEjA4JS9yeJfCp6ISWrIxC0pR2XADOc1E-2vdFHcg.vdpezQ7FQs8_W4xc19TGksQGFL3GTz6UklWDSPk-nCwg.JPEG/image_blog2.jpg?type=w966|||https://blogfiles.pstatic.net//MjAyNTExMDJfMjM3/MDAxNzYyMDg4OTMzNzIy.hhuqVOoYsbLP7SisnVMdEB67ELZTr1wJi3gTFv3_AAYg.g2Kz-Pi6rRecD_dPrB2TJVNf-uH5wWil_vQhl3oCvRwg.PNG/image_button2.png?type=w1|||https://postfiles.pstatic.net/MjAyNTExMDJfMTk3/MDAxNzYyMDg4OTI2Nzky.is9etwZxurs2wMq_u6ntdbYfyNZ4RDSTgSiFqIwUdcAg.oyMgElVqN6wbiw8bqkignNzYPhSAFHWmm8VdOUb68YUg.JPEG/image_blog3.jpg?type=w966|||https://blogfiles.pstatic.net//MjAyNTExMDJfMjg2/MDAxNzYyMDg4OTM0OTM5.YMyP9Yp6QlFHcINkE6T_vj480xQROmQ5do8B0vztRQkg.ceSX4R3D3ZENL8CNIXzeQeXYyEzSjp3cpJmWVY8nOAMg.PNG/image_button3.png?type=w1|||https://postfiles.pstatic.net/MjAyNTExMDJfMTkg/MDAxNzYyMDg4OTI4MTU1.Nvxq-KezafKGS0EfTCBzojWo0psAg0iFQ21rrzVuPIkg.xTDsuWhPIbdpyeGxZnR0CVo_w9KiY7hUt_4YHcrd7pMg.JPEG/image_blog4.jpg?type=w966|||https://blogfiles.pstatic.net//MjAyNTExMDJfMjY0/MDAxNzYyMDg4OTM2MjEw.n9lMTpmGv_JFiRLO3Fo0BvDitSDbt71hHQBJxIdnQR4g.sC8FKAvMdnL4LzxQ35dWzVwwV7RHOYVK2Zca0ryXUZEg.PNG/image_button4.png?type=w1|||https://postfiles.pstatic.net/MjAyNTExMDJfNjIg/MDAxNzYyMDg4OTI5NjU0.JGm20wg1F7OF_AcVikk84b1VlmFXnLl2O0ejKUcfozsg.ZdvmvrRQgyZZECeukf9Z_MkfInZa7a2TeyCdbW6l3Nwg.JPEG/image_blogs0.jpg?type=w80_blur</t>
  </si>
  <si>
    <t>넷플릭스 요금제, 최적 선택은? : 네이버 블로그</t>
  </si>
  <si>
    <t xml:space="preserve">스탠다드, 베이식, 스탠다드, 프리미엄 이렇게 네 가지로 나뉘어요. 각 요금제마다 화질, 동시 접속 가능 인원, 그리고 광고 유무가 다르답니다. 혼자 조용히 즐기는 것을 좋아한다면 베이식이나 광고형... </t>
  </si>
  <si>
    <t>blog.naver.com/yng_corporation</t>
  </si>
  <si>
    <t>https://blog.naver.com/yng_corporation/224062151510</t>
  </si>
  <si>
    <t>yng_corporation</t>
  </si>
  <si>
    <t>넷플릭스 시청, 이제는 선택이 필수가
되었죠.
하지만 다양한 옵션 앞에서 어떤
넷플릭스 요금제 를 골라야 할지
고민이신가요?
나에게 딱 맞는 요금제를 선택하는
방법, 지금부터 함께 알아봐요.
현명한 선택
넷플릭스 요금제 는 크게 광고형
스탠다드, 베이식, 스탠다드, 프리미엄
이렇게 네 가지로 나뉘어요.
각 요금제마다 화질, 동시 접속 가능
인원, 그리고 광고 유무가 다르답니다.
혼자 조용히 즐기는 것을 좋아한다면
베이식이나 광고형 스탠다드가 적합할 수
있고, 가족과 함께 시청한다면 프리미엄이
좋은 선택이 될 수 있겠죠.
다양한 선택지
넷플릭스 베이식 요금제는 혼자 시청하기에
적합하며, HD 화질을 지원하지 않아요.
광고형 스탠다드는 Full HD 화질을
제공하지만, 시청 중 광고가 포함됩니다.
스탠다드 요금제는 Full HD 화질에
동시 2명 시청이 가능하며, 프리미엄은
UHD 화질에 동시 4명까지 시청할 수 있어요.
나에게 맞는 선택
넷플릭스 스탠다드 요금제는 가격과
화질, 동시 접속 가능 인원을 고려했을 때
가장 합리적인 선택일 수 있어요.
하지만 4K 화질로 생생하게 보고 싶다면
프리미엄을, 저렴하게 혼자 즐기고 싶다면
광고형 스탠다드나 베이식을 고려해 보세요.
본인의 시청 습관과 예산에 맞춰 신중하게
선택하는 것이 중요하답니다.
현명한 소비 습관
넷플릭스 프리미엄 요금제를 선택하면
4명까지 동시 시청이 가능해서, 가족이나
친구들과 함께 계정을 공유할 수 있어요.
하지만 넷플릭스 정책상 계정 공유는
함께 거주하는 가구 구성원만 가능하며,
이를 어길 시 계정 사용에 제한이 있을 수
있으니 주의해야 합니다.
넷플릭스 정책 확인
넷플릭스 는 다양한 콘텐츠를 즐길
수 있는 좋은 플랫폼이지만, 요금제
선택은 신중해야 해요.
자신의 시청 패턴과 예산을 고려하여
합리적인 넷플릭스 요금제 를 선택하고,
계정 공유 시 정책을 준수하는 것이 중요해요.
궁금한 점이 있다면 언제든지 댓글로
남겨주세요!
#넷플릭스요금제 #넷플릭스 #OTT #구독</t>
  </si>
  <si>
    <t>#넷플릭스요금제, #넷플릭스, #OTT, #구독</t>
  </si>
  <si>
    <t>https://postfiles.pstatic.net/MjAyNTExMDJfMzAg/MDAxNzYyMDc3NTA3MTc2.ki561Z8n3k417VrcdfjKZmjJ4rau8RT8TqvnXxljXeQg.bKew_TyDixgFgxmCwvF6oPXCbf6X9WtidIekigG6hO4g.JPEG/Image_fx.jpg?type=w773|||https://postfiles.pstatic.net/MjAyNTExMDJfNzcg/MDAxNzYyMDc3NTY5MTk5.pLyRtLn9iDUaihBwHQmleqdKe1rOamtcbyrsVd3APnEg.O4mq5m2xaPjMEroQdbSXh553Q4RUWWFpCgF3yaNlOa0g.JPEG/Image_fx.jpg?type=w80_blur|||https://postfiles.pstatic.net/MjAyNTExMDJfODIg/MDAxNzYyMDc3NjM0NDQ4.EmyyY9POkxCuvW4k-O7YssSWSLdR7hImk8aJKl70J3Eg.ZMfe0v6X0JeiRfatgxz3sALC6Uo2tW21sq6aHBJk29wg.JPEG/Image_fx.jpg?type=w80_blur|||https://postfiles.pstatic.net/MjAyNTExMDJfMzQg/MDAxNzYyMDc3Njk4OTg1.5wsK4g5Ai0UGb-8jZ9ef12NPECk74HQvfXFRIM5Bo-Yg.supYl8pF_lz12NSsiNYvGLqnsulM5chpN5DRXdfZ1Ggg.JPEG/Image_fx.jpg?type=w80_blur|||https://postfiles.pstatic.net/MjAyNTExMDJfMjcx/MDAxNzYyMDc3ODE4NDk4.ndndEkkZqtA0i7XqZUbHr5nDdoXX_DdRm-G7-uASCmgg.sETp-mSOVGjIoJpZx_mfGX8opzqSjPm04sgErXn5U-8g.JPEG/Image_fx.jpg?type=w80_blur</t>
  </si>
  <si>
    <t>바퀴달린집 장나라 공명 바람막이 자켓 핑크 모.. : 네이버블로그</t>
  </si>
  <si>
    <t xml:space="preserve">베이식한 디자인에 자수 레터링으로 포인트를 준 캡이에요. 특히 톤다운된 핑크 컬러가 얼굴 톤을 화사하게 밝혀주고, 빈티지한 블루 자수가 감각적인 분위기를 더해줘요. ▶장나라 안경 보러가기 모스콧... </t>
  </si>
  <si>
    <t>blog.naver.com/hkh443</t>
  </si>
  <si>
    <t>https://blog.naver.com/hkh443/224062517980</t>
  </si>
  <si>
    <t>hkh443</t>
  </si>
  <si>
    <t>프로그램명 (회차) 바퀴달린집5 4회
방송일정 : 2025.11.02
▶공명 바람막이 자켓 보러가기
파타고니아 멘즈 후디니 재킷
심플한 미니멀 디자인에 파타고니아
특유의 로고 라벨이 포인트로 더해져 있어요.
후드와 밑단에 스트링이 달려 있어
체형에 맞게 핏을 조절할 수 있고,
은은한 베이지 컬러가 얼굴 톤을
부드럽게 밝혀주는 효과가 있어요.
공명님처럼 자연스러운 아웃도어
감성을 연출하고 싶을 때,
청바지나 조거팬츠와 함께 매치하면
완성도 높은 스타일이 돼요
▶장나라 모자 보러가기
아라바그 웨이브 레터 캡 애쉬 핑크
바퀴 달린 집에서 장나라님이 착용한 아이템,
바로 아라바그 웨이브 레터 캡 애쉬 핑크예요.
부드러운 핑크 컬러에 블루 자수가
포인트로 더해져 잔잔하면서도
개성 있는 느낌을 주는 디자인이에요.
밝은 톤의 데님, 화이트 셔츠, 원피스 등
어떤 룩에도 잘 어울려 데일리 패션에
자연스럽게 녹아드는 볼캡입니다.
베이식한 디자인에 자수 레터링으로
포인트를 준 캡이에요.
특히 톤다운된 핑크 컬러가
얼굴 톤을 화사하게 밝혀주고,
빈티지한 블루 자수가 감각적인 분위기를 더해줘요.
▶장나라 안경 보러가기
모스콧 렘토쉬 토터스 프레임
세월이 지나도 변하지 않는 클래식 아이템으로,
빈티지한 멋과 감각적인 분위기를
동시에 느낄 수 있는 프레임의 안경입니다
뉴욕 감성을 대표하는 모스콧의 대표 모델로,
수많은 아티스트와 셀럽들이
사랑하는 클래식 라인,
따뜻한 브라운 톤의 Tortoise(토터스) 컬러로,
얼굴에 자연스럽게 녹아드는
부드러운 음영감을 줘요.
투명감이 느껴지는 브라운 패턴이
빛에 따라 은은하게 변해
표정에 깊이감과 고급스러움을
더해주는 디자인이입니다
너무 크거나 작지 않은 균형 잡힌
프레임이 얼굴형에 잘 어울려
꾸안꾸 스타일에도, 포멀한 룩에도
자연스럽게 어울려요.
장나라님처럼 내추럴한 캐주얼 룩에 매치하면
지적이면서도 부드러운 매력을
완성할 수 있는 안경이에요.
▶바람막이 자켓 보러가기
퓨잡 FANTINE 자켓
은은한 라벤더 핑크 컬러가
얼굴을 화사하게 밝혀주면서,
얇고 가벼운 원단 덕분에 활동성까지
좋은 데일리 아우터예요.
생활 방수가 가능한 경량 나일론 원단으로
제작되어 가벼운 비나 바람에도
몸을 편안하게 감싸주며
리 밴딩이 살짝 들어가 있어
실루엣이 예쁘게 잡히고,
투웨이 지퍼로 편리하게
오픈·클로징이 가능해요.
베이비핑크 톤의 부드러운
컬러감이 시선을 사로잡아요.
후드 디테일이 더해져 귀엽고
경쾌한 분위기를 연출해주며,
화이트 지퍼 라인이 산뜻한 포인트가 되어
전체적으로 조화로워요.
가볍게 툭 걸치기만 해도 얼굴빛이
화사해 보이는
봄·가을 필수템이에요.
바퀴달린집 장나라 성동일 텐트 1인용 초밥가루 시스 분말 캠핑 아이템 4회
프로그램명 (회차) 바퀴달린집5 4회 방송일정 : 2025.11.02 ▶바퀴달린집 텐트 보러가기 듀랑고 에어미니 ...
blog.naver.com
바퀴달린집5 장나라 안경 뿔테 멜빵 원피스 치마 가방 크로스백 성게알 2회 패션 옷
프로그램명 (회차) 바퀴달린집5 2회 방송일정 : 2025.10.26 ▶북해도 성게알 보러가기 북해도 성게알 공명 ...
blog.naver.com
바퀴달린집 엄태구 사탕 목캔디 마누카꿀 장나라 후드티 성동일 운동화 2회
프로그램명 (회차)바퀴달린집5 2회 방송일정 : 2025.10.19 ▶엄태구 목캔디 보러가기 콤비타 UMF10+ 마...
blog.naver.com</t>
  </si>
  <si>
    <t>https://postfiles.pstatic.net/MjAyNTExMDNfMTYg/MDAxNzYyMTAwNzEzMDk3.N4WfGcqJ-YcPwRgXD607CbIFY8Zlz_Y5X0kSYm2O5-8g.mLej2eP7dUfHWomy0YmHrFKdoW1aJkjjrPRlz9grcEwg.PNG/image.png?type=w773|||https://postfiles.pstatic.net/MjAyNTExMDNfMjgy/MDAxNzYyMTAyODI3OTUz.hdceftqwp8IloyDzmc9jrXzIdB8TcrZMoXTdb_UPLRgg._wZ_ODaDFGRLrrpuzovxYNLLDOCG-Yls2ZKq5qcbW0Ag.PNG/%EC%A0%9C%EB%AA%A9%EC%9D%84_%EC%9E%85%EB%A0%A5%ED%95%B4%EC%A3%BC%EC%84%B8%EC%9A%94_-001_-_2025-11-03T020021.139.png?type=w773|||https://postfiles.pstatic.net/MjAyNTExMDNfMTE0/MDAxNzYyMTAzMDk2MzA5.WOi7Js19EUccANWVAGynMc540vVLg9VqTkpDqFpUGdgg.8QC_0KR6rYaF9togerEAucdvdfCoWHHGoluWYAHx81wg.PNG/SE-2ae7467d-d7cd-4c3e-97dc-c37cec5291eb.png?type=w80_blur|||https://postfiles.pstatic.net/MjAyNTExMDNfMjY2/MDAxNzYyMTAzMDk3MjE0.OuiBDhc6qbA0bdHZ6HYAgkL-4fhVZYnYH0t4Si3Wyp0g.2svnDOQvI-sddZQ_b0oEgpcfSllCLzTbH53tPyFKcTsg.PNG/SE-913e127e-7665-46d4-bb4d-db2fe2b439ef.png?type=w80_blur|||https://postfiles.pstatic.net/MjAyNTExMDNfODAg/MDAxNzYyMTAzMDk4MTQ0.UgP2qW4FbgE43cBvCoZbsCeHdwWh7yIXsoexai-FAJsg.hMgeTNYdMhz0gCf3fCMhuGKUcHtg-wRoxqNTC0_pGIAg.PNG/SE-b38cf17c-db35-4e02-910b-10d6828180a4.png?type=w80_blur|||https://postfiles.pstatic.net/MjAyNTExMDNfMjUg/MDAxNzYyMTAzMDk5MDQ2.Jes0naHOZxykTHdlWshD0eFft_vFsliO8A6Are505Ggg.ntQi3tbF72RGOWSCzYZEhUdUfTRdhrnkcYNjcVBgPCQg.PNG/SE-4d7c29c4-c651-40bb-b279-e501f32ef81a.png?type=w80_blur|||https://postfiles.pstatic.net/MjAyNTExMDNfMjc2/MDAxNzYyMTAzMDk5ODcz.CipWoJNwIZrkagv-pDVT-vHoW-G9VMLtHL-P37t9RyYg.ha81cya-3sEX97EJP_uCQf473detNkAoCmDz9wRHGOIg.PNG/SE-b74f2758-4099-45c5-a288-b1d6b1b2439e.png?type=w80_blur|||https://postfiles.pstatic.net/MjAyNTExMDNfNTkg/MDAxNzYyMTAzMTAxMzg1.ZzDycyDSQMlkgiyCNRKo0EmYIIi_jGAQSSU2TH0lo5kg.aMVWxPlt1NsiSjnCgZ2j0SLZ9cjgDAb-jQZnM6UWMLEg.PNG/SE-789efd03-abd4-4e45-b8bc-cf77f811018b.png?type=w80_blur|||https://postfiles.pstatic.net/MjAyNTExMDNfMjk1/MDAxNzYyMTAzMTAyMjQw.OheKL-mUrF2si7yppWKKOp1tJoiCd9t4jdZKuegg5bYg.zvn8nq4t61oLeMubA6uxVVrC5B6KJGKtfSKghBGihOkg.PNG/SE-b19b08fa-6cb9-482d-a79c-168913221b8b.png?type=w80_blur|||https://postfiles.pstatic.net/MjAyNTExMDNfMjUx/MDAxNzYyMTAzMTAzMDc5.O7zEYjrIKZB74TbAHy8Dzwapn1ou-St0B91bx3PUdVkg.YAoPKruDSMZVYI335wZidn1MQLsB7nrH3V8_E8HfvH8g.PNG/SE-e3fdbe8e-f2e4-4188-a978-bacfadb7b798.png?type=w80_blur|||https://postfiles.pstatic.net/MjAyNTExMDNfMjQ4/MDAxNzYyMTAzMTAzODcz.f-NLql2KENIuPbUpM0Bg6_roIEtCwVZ_w9uu0HwltOAg.SoJZiSXIWw61MyoZ3z89csvI8-FQVTiiapOE9FX8ZeYg.PNG/SE-1b21214b-7659-4707-8b6f-aae26ae52263.png?type=w80_blur|||https://postfiles.pstatic.net/MjAyNTExMDNfMTMx/MDAxNzYyMTAzMDk1NDc1.6PEMCHmq5ABggJc0k8CqtCSZn68u-FAFI8-S7aBofHog.yHcY2rQCc5bin1Tm0N6csNV5gjELC2AxSuos5FhHXYgg.PNG/SE-46d632a1-665a-4ebc-a74b-5e0fc69cdff9.png?type=w80_blur|||https://dthumb-phinf.pstatic.net/?src=%22https%3A%2F%2Fblogthumb.pstatic.net%2FMjAyNTExMDNfMTgx%2FMDAxNzYyMTA1MTAwODk0.BvRW8HpcIibLb81IG39YMoL3Z9ELrRbZKTvYnoki8qsg.y2APSQ4bhAQLmOUxcAU_40z3fUcfyhXbXEuZ4dPlvfMg.PNG%2F%25C1%25A6%25B8%25F1%25C0%25BB_%25C0%25D4%25B7%25C2%25C7%25D8%25C1%25D6%25BC%25BC%25BF%25E4_-001_-_2025-11-03T023752.335.png%3Ftype%3Dw2%22&amp;type=ff500_300|||https://dthumb-phinf.pstatic.net/?src=%22https%3A%2F%2Fblogthumb.pstatic.net%2FMjAyNTEwMjdfMjIz%2FMDAxNzYxNTMxODg3NzUz.Ep3_dJQn_1UCgS8p6jLDr96J6N0b1mzMHpIrazzV2vYg.HJWujcAZfxc6AlKuJ_db-M1wd12_BqjUT8j65hambvwg.PNG%2F%25C1%25A6%25B8%25F1%25C0%25BB_%25C0%25D4%25B7%25C2%25C7%25D8%25C1%25D6%25BC%25BC%25BF%25E4_-001_-_2025-10-27T112430.900.png%3Ftype%3Dw2%22&amp;type=ff500_300|||https://dthumb-phinf.pstatic.net/?src=%22https%3A%2F%2Fblogthumb.pstatic.net%2FMjAyNTEwMjBfMTk2%2FMDAxNzYwODk0MzU1MzAw.JLuCz6Et2ekS2iRo9I5t6cbC5-QtuADchnkujJirsKYg.zlcgda64vAGAeCmo_cvhwVCDjIVw6YwPQbla7rmg1QQg.PNG%2F%25C1%25A6%25B8%25F1%25C0%25BB_%25C0%25D4%25B7%25C2%25C7%25D8%25C1%25D6%25BC%25BC%25BF%25E4_-001_-_2025-10-20T021904.847.png%3Ftype%3Dw2%22&amp;type=ff500_300</t>
  </si>
  <si>
    <t>무신사스탠다드 스포츠 2025 – 기능성과 스.. : 네이버블로그</t>
  </si>
  <si>
    <t xml:space="preserve">‘무신사스탠다드 스포츠’는 무신사의 대표 베이식 캐주얼 라인 ‘무신사스탠다드’의 스포츠... 무신사스탠다드 스포츠 론칭과 성장 스토리 무신사스탠다드는 2017년 모던 베이식 캐주얼웨어로 출발해, 2023년... </t>
  </si>
  <si>
    <t>blog.naver.com/konobom</t>
  </si>
  <si>
    <t>https://blog.naver.com/konobom/224062379652</t>
  </si>
  <si>
    <t>konobom</t>
  </si>
  <si>
    <t>무신사스탠다드 스포츠란?
‘무신사스탠다드 스포츠’는 무신사의 대표 베이식 캐주얼 라인 ‘무신사스탠다드’의 스포츠 라인으로, 운동을 취미로 즐기거나 시작하는 20~30대를 주요 타깃으로 탄생했어요. 운동이 일상이 된 요즘, 스타일과 기능 두 마리 토끼를 잡는 스포츠웨어가 필요해지며, 무신사스탠다드 스포츠가 최적의 선택지로 부상 중입니다.
특히, 스포츠 의류 전문 기업 GBGH와의 라이선스 계약을 통해 전문성을 더욱 강화했으며, 다양한 운동 종목을 가리지 않고 스타일리시하면서도 활동적인 옷을 합리적인 가격에 선보이고 있어요.
무신사스탠다드 스포츠 론칭과 성장 스토리
무신사스탠다드는 2017년 모던 베이식 캐주얼웨어로 출발해, 2023년 4월 ‘무신사스탠다드 스포츠’를 공식 론칭했습니다. 당시 온라인 채널에서만 독점 판매하며 가성비와 가심비를 모두 만족시키는 기능성 제품을 쏟아내 큰 반응을 얻었어요. 2025년부터는 서울 잠실 롯데월드몰 3층에 첫 단독 오프라인 매장을 열고, 러닝·웨이트트레이닝·골프 등 다양한 운동 종목을 아우르는 제품을 직접 체험할 수 있게 되었죠.
운동을 시작하는 사람부터 꾸준히 즐기는 사람까지 모두 만족할 수 있도록, 다양한 상품군과 실용적 디자인을 지속적으로 선보이고 있습니다.
무신사스탠다드 스포츠 주요 상품군
상품 유형
특징 및 기능
주요 소재
대표 아이템 예시
윈드브레이커
가볍고 방풍, 통기성 뛰어난 외투, 세련된 디자인
경량 나일론, 폴리에스터
미니멀 디자인 윈드브레이커
기능성 티셔츠
땀을 빠르게 흡수하며 속건성 우수, 피부 친화적 소재
폴리에스터, 스판덱스
라운드넥, 브이넥 기능성 티셔츠
쇼츠
활동성 극대화, 경량, 운동 중 쾌적함 제공
경량 스판, 나일론
트레이닝 쇼츠, 반바지
롱 팬츠
움직임에 제약 없는 스트레치성, 다양한 룩과 매칭 가능
나일론, 폴리에스터, 스판덱스
트레이닝 팬츠, 레깅스
브랜드 특장점과 핵심 가치
기능성 최고
땀 흡수와 통기성에 최적화된 고급 소재 사용으로 운동 내내 쾌적함 추천
미니멀하고 심플한 디자인
기본에 충실하면서도 세련된 룩으로 일상복과 운동복 양쪽 모두 활용 가능
합리적 가격대
고품질 제품임에도 가성비로 뛰어나 누구나 부담 없이 즐길 수 있는 가격
전문 스포츠 업체와 협업
기존 캐주얼 브랜드를 넘어 스포츠 전문기업 GBGH와의 시너지 효과로 전문성 확대
체험형 오프라인 매장 운영
실제 소재와 핏체크, 기능성 체험이 가능한 공간 마련으로 고객 만족 극대화
‘무신사스탠다드 스포츠’ 스타일링 가이드 🎀
윈드브레이커는 브이넥 티셔츠와 레깅스, 스니커즈와 매치해 심플하면서도 스포티한 출근룩으로도 가능!
가벼운 티셔츠와 트레이닝 쇼츠는 실내·야외운동 모두 적합하며, 컬러는 모노톤 또는 파스텔 계열이 대세
롱 팬츠는 깔끔한 트랙팬츠 스타일로 캐주얼한 일상복과 운동복 사이 중간 포지셔닝이 가능해 활용도 만점
액세서리는 심플한 캡 모자, 미니 크로스 백, 기능성 양말 등으로 운동 스타일 완성도를 더해보세요
개인적 경험으로 본 무신사스탠다드 스포츠 추천 포인트
운동복을 선택할 때 ‘무신사스탠다드 스포츠’ 제품의 경량성과 통기성은 정말 만족스럽게 다가왔어요. 특히 런닝화와 궁합이 좋은 윈드브레이커는 비 오는 날에도 몸을 잘 감싸주며, 기능성 티셔츠는 땀을 빠르게 흡수해 오랜 운동에도 쾌적함을 유지해줍니다. 가격대도 합리적이라 운동을 시작하는 친구에게도 부담 없이 추천하기 좋았죠. 이런 점들이 ‘무신사스탠다드 스포츠’가 빠르게 사랑받는 비결이라 생각해요.
🏃‍♀️💖
무신사스탠다드 스포츠 2025 제품군
제품군
기능성
디자인
가격대 (만원)
추천 용도
윈드브레이커
방풍, 경량, 통기성
심플, 모던
6~8
야외 운동, 러닝
기능성 티셔츠
흡습·속건, 신축성
베이식, 컬러 다양
2~5
실내외 운동
쇼츠
경량, 뛰어난 활동성
미니멀, 심플
3~6
런닝, 트레이닝
롱 팬츠
신축성, 편안한 착용감
스트리트 캐주얼
4~7
트레이닝, 일상
점점 확장되는 무신사스탠다드의 제품들에 대한 기대가 큰데요...!
다들 다양한 행사도 함께 확인하고 스포츠도 무신사로 즐겨보면 좋을거같아요 ㅎㅎ
#무신사스탠다드스포츠 #스포츠웨어 #기능성운동복 #운동패션 #가성비스포츠웨어 #운동복코디 #윈드브레이커 #무신사운동복 #러닝복추천 #운동스타일</t>
  </si>
  <si>
    <t>#무신사스탠다드스포츠, #스포츠웨어, #기능성운동복, #운동패션, #가성비스포츠웨어, #운동복코디, #윈드브레이커, #무신사운동복, #러닝복추천, #운동스타일</t>
  </si>
  <si>
    <t>https://postfiles.pstatic.net/MjAyNTExMDJfMTkg/MDAxNzYyMDkyMjU2MjE1.3_nIwUWlzQKzuMLqYNyePljwWXwcihHY58mWEDPaRrwg.fEqwf7UR0UIeCDES5s-mcqAZ1XjhBX21ElCscrfyXy4g.JPEG/Image_fx_-_2025-11-02T230406.028.jpg?type=w80_blur</t>
  </si>
  <si>
    <t>미니멀하</t>
  </si>
  <si>
    <t>런닝맨 776회 지예은 가디건 유재석 티셔츠 .. : 네이버블로그</t>
  </si>
  <si>
    <t xml:space="preserve">커버낫은 베이식한 디자인에 스트리트 감성을 더한 브랜드로, 실용성과 트렌드를 동시에 추구하며 현대적인 라이프스타일을 표현하는 패션을 제안하고 있어요. ■런닝맨 776회 하하 볼캡■ 알파벳 자수 볼캡... </t>
  </si>
  <si>
    <t>blog.naver.com/phd_choi93</t>
  </si>
  <si>
    <t>https://blog.naver.com/phd_choi93/224062218288</t>
  </si>
  <si>
    <t>phd_choi93</t>
  </si>
  <si>
    <t>안녕하세요. 이번 포스팅에는 런닝맨 776회에서 나왔던 지예은 유재석 하하 님 의상 패션 정보에 대해서 설명하려고 해요.
■런닝맨 776회 지예은 가디건■
라인배색 가디건 보러가기
뮤뮤어 코리아의 핸드메이드 버드 포켓 가디건은 지예은님이 런닝맨 776회에서 착용하며 따뜻한 감성을 보여주는 아이템이에요.
부드러운 니트 질감과 세심한 자수 디테일이 어우러져 편안하면서도 세련된 분위기를 완성하고 있어요.
카라와 단추 라인을 따라 이어진 붉은 스티치가 아이보리 컬러와 대비되어 감각적인 포인트가 되고, 포켓 위 새 자수가 자연스럽게 시선을 끌어요.
울 혼방 소재로 만들어져 포근하고 가벼우며, 겨울철에도 부담 없이 입기 좋아요.
지예은님은 다양한 옷과 패션 코디 속에서 이 가디건을 자주 활용하고 있으며, 세 번 이상 다른 의상과 조합해 따뜻한 이미지와 개성을 동시에 표현하고 있어요.
새 자수 패턴이 단조롭지 않은 감성을 주며, 캐주얼한 팬츠나 롱 스커트에도 잘 어울려요.
뮤뮤어 코리아는 유니크한 디자인과 클래식한 실루엣을 결합해 자신만의 감성을 표현하는 브랜드로, 일상 속에서도 특별함을 느낄 수 있게 해줘요.
■런닝맨 776회 유재석 티셔츠■
럭비 스트라이프 폴로 니트 스웨터 보러가기
엔아카이브의 뉴젠틀 럭비 폴로 니트 버건디는 유재석님이 런닝맨 776회에서 착용하며 세련된 캐주얼 무드를 보여주는 아이템이에요.
클래식한 폴로 칼라 디자인에 두 개의 버튼이 더해져 단정한 인상을 주고, 여유 있는 실루엣이 편안한 착용감을 완성하고 있어요.
버건디와 네이비 컬러가 교차하는 스트라이프 패턴이 강한 존재감을 더하며, 어깨선이 자연스럽게 떨어져 부드러운 라인을 만들어줘요.
울 혼방 니트 소재로 따뜻하면서도 포근한 질감을 가지고 있고, 계절 변화에 따라 다양한 의상과 함께 매치하기 좋아요.
유재석님은 방송 속에서 이 니트를 다양한 옷과 패션 코디에 활용하며 여유롭고 단정한 이미지를 자주 보여주고 있어요.
스트라이프 배색이 포인트가 되어 데님이나 코튼 팬츠에도 자연스럽게 어울리고, 일상복과 무대 의상 모두에 활용할 수 있어요.
엔아카이브는 빈티지 감성과 현대적인 실루엣을 결합한 브랜드로, 클래식한 디자인 안에서 새로운 개성을 표현하는 패션을 제안하고 있어요.
■런닝맨 776회 유재석 볼캡■
커버낫 볼캡 보러가기
커버낫의 코지 핏 아트웍 레터링 로고 볼캡 네이비는 유재석님이 런닝맨 776회에서 착용하며 캐주얼한 매력을 더해주는 아이템이에요.
프런트 중앙에 입체적인 자수 로고가 새겨져 시선을 사로잡고, 곡선형 챙 라인이 자연스러워 얼굴형을 부드럽게 감싸요.
코튼 트윌 원단으로 제작되어 탄탄하면서도 부드러운 착용감을 주고, 통기성이 좋아 장시간 착용에도 편안함을 유지해요.
네이비 컬러 베이스에 붉은 톤의 자수 글씨가 대비되어 세련된 인상을 주며, 다양한 의상과의 조화가 뛰어나요.
유재석님은 방송 속에서 이 모자를 여러 패션 코디에 활용하며 깔끔하고 실용적인 스타일을 완성하고 있어요.
볼캡 특유의 자연스러운 실루엣이 일상복이나 야외 촬영 의상에도 잘 어울리고, 계절과 관계없이 자주 활용되고 있어요.
커버낫은 베이식한 디자인에 스트리트 감성을 더한 브랜드로, 실용성과 트렌드를 동시에 추구하며 현대적인 라이프스타일을 표현하는 패션을 제안하고 있어요.
■런닝맨 776회 하하 볼캡■
알파벳 자수 볼캡 보러가기
PSC 프리티보이 섹시걸 클럽 볼캡은 하하님이 런닝맨 776회에서 착용하며 강한 개성을 보여주는 아이템이에요.
블랙 베이스에 노란색 입체 자수가 시선을 사로잡고, 전면의 로고와 밑단의 골드 스트링이 독특한 포인트를 만들어줘요.
탄탄한 코튼 소재로 형태가 잘 유지되며, 착용감이 편안하고 실용성이 높아요.
유니크한 디자인 덕분에 스트리트룩이나 힙한 패션 코디에 완벽하게 어울리고, 하하님은 방송 속에서 여러 의상과 함께 이 볼캡을 자주 활용하고 있어요.
PSC는 자유로운 감성과 젊은 에너지를 담은 브랜드로, 개성 있는 디자인을 통해 자신만의 스타일을 표현하는 패션을 제안하고 있어요.
런닝맨 776회
재생
2
좋아요
0
00:30
런닝맨 776회
#런닝맨776회패션 #런닝맨776회의상 #런닝맨776회지예은옷</t>
  </si>
  <si>
    <t>#런닝맨776회패션, #런닝맨776회의상, #런닝맨776회지예은옷</t>
  </si>
  <si>
    <t>https://postfiles.pstatic.net/MjAyNTExMDJfMTcg/MDAxNzYyMDgwMTUyMTk1.HZw9wD-9_WITig3u3TcphRe2iVNCSIKZN4ENMeIfDAsg.5dnXQ8lDr49Wic76fUZyaFdkuZVglMyyg6s3E3ySVw0g.PNG/%ED%99%94%EB%A9%B4_%EC%BA%A1%EC%B2%98_2025-03-21_231123.png?type=w966|||https://postfiles.pstatic.net/MjAyNTExMDJfMjE0/MDAxNzYyMDgwMTcxNDMz.Aoi_iLXuSIdSh58gxXtkNB9g5WFuw4vxDr6Go8JTBUAg.AVVGxYm2Jd23EO3kQ6gnLnZHO-KBDU-jTUv6wJo56HMg.PNG/%EA%B7%B8%EB%A6%BC9.png?type=w966|||https://postfiles.pstatic.net/MjAyNTExMDJfMjQy/MDAxNzYyMDgwMzkzNzEw.M50wHXVD7_WhCywkY5zrAHUYwq81_VBOVrtxnea3Ov0g.PR2vQmj2jRrLzKACPh0usEd4tLvFPF-755Vh8i8OEEAg.PNG/KakaoTalk_20251102_191157442.png?type=w80_blur|||https://postfiles.pstatic.net/MjAyNTExMDJfMjU0/MDAxNzYyMDgxMjU1OTQ1.Gb-rhRtcGdUCHFRhFUZYecc0qVSqsE29y9ySrO_OttQg.qBzNwIOKcnhR50fvI3Iqh6Za_USKq3T4_zKXonqNKbIg.PNG/KakaoTalk_20251102_192045978.png?type=w80_blur|||https://postfiles.pstatic.net/MjAyNTExMDJfMjkx/MDAxNzYyMDgxNzQwMTE5.CttKL-RhKo8G5QtWhHQOq3InUQqnNdAzRKGkrOJhePQg.Bh7aof9DzD-Jdw1Wq7YNyrk-LDc-nYBq6TSNeMsnpM4g.PNG/image.png?type=w80_blur|||https://postfiles.pstatic.net/MjAyNTExMDJfMjU0/MDAxNzYyMDgxNzY5MTY3.h_EloZ_DtTM-Evv8MGkbZSyYx9_OAOcgFZm3NMiYBGgg.9uRi5gFwInFXGndM46XfyCrGaL1taK0hoYvtJt5BEhcg.PNG/KakaoTalk_20251102_192644190.png?type=w80_blur|||https://postfiles.pstatic.net/MjAyNTExMDJfNTgg/MDAxNzYyMDgyMDY4MTgw.2BVW9TR1gLIW9etmLlihCQMlRRbEKdKnxuquNHQNBIQg.XNJ7NaY8BwMe6i3Cpx9KjRbUBxZMKWjzCAsMO04GSHIg.PNG/image.png?type=w80_blur|||https://postfiles.pstatic.net/MjAyNTExMDJfMTk4/MDAxNzYyMDgyMDg0Mjc1.VjJLvqbpqdEQS-yc7q3qNG1UWCoPQrT56ESQKKM3s7Ug.kHT-033MFiWhSQ-YeVK7_Q0TSjBHDtoLDKjf0Aix4RUg.PNG/KakaoTalk_20251102_191602851.png?type=w80_blur|||https://postfiles.pstatic.net/MjAyNTExMDJfMjE2/MDAxNzYyMDgyNDY4NjUz.7iL_EGWIvNjD2VDyGyyQv0GlwUCBhGxepHZxvr-fk0gg.KkoLC9uN14lBhDXtpLZrfnnWyBzigf78kXQPUcN4XmYg.PNG/image.png?type=w80_blur</t>
  </si>
  <si>
    <t>베이직하우스 세미 오버핏 옥스포드 긴팔 셔츠 .. : 네이버블로그</t>
  </si>
  <si>
    <t xml:space="preserve">베이식하우스 세미 오버핏 추천 대상과 가이드 이 셔츠를 어떤 분들이 좋아할까요? 베이직하우스 세미 오버핏 옥스포드 긴팔 셔츠는 편안함과 스타일을 동시에 추구하는 분들에게 적합합니다. 수납공간이... </t>
  </si>
  <si>
    <t>blog.naver.com/uhuhtcoml</t>
  </si>
  <si>
    <t>https://blog.naver.com/uhuhtcoml/224062212762</t>
  </si>
  <si>
    <t>uhuhtcoml</t>
  </si>
  <si>
    <t>안녕하세요, 스타일을 중시하는 여러분!
오늘은 베이직하우스의 세미 오버핏 옥스포드 긴팔 셔츠를 소개해드릴게요.
깔끔하면서도 세련된 디자인이 매력적인 이 셔츠가 무려 62% 할인된 18,900원에 만나볼 수 있다는 사실, 알고 계셨나요?
여러분의 옷장에 스타일과 활용성을 더해줄 이 기회를 놓치지 마세요!
자세한 정보는 아래 링크에서 확인하세요!
베이직하우스 세미 오버핏 옥스포드 긴팔 셔츠 : BASIC HOUSE
[BASIC HOUSE] 제대로 만들어진 기본, 베이직하우스
naver.me
베이직하우스 세미 오버핏 리뷰와 추천
실제 구매자들의 솔직한 후기 모음
베이직하우스 세미 오버핏 옥스포드 긴팔 셔츠를 처음 입었을 때, 편안한 착용감에 감동했습니다!
디자인이 세련되면서도 부담스럽지 않아 데일리 룩으로 제격입니다.
특히, 넉넉한 오버핏 덕분에 어떤 체형에도 잘 어울려서 여러 번 활용할 수 있을 것 같아요.
또한, 재질이 부드럽고 피부에 자극이 없어서 하루 종일 착용해도 편안했습니다.
옷을 고를 때 가장 중요하게 생각하는 부분이기도 해요.
정말 추천합니다!
옥스포드 긴팔 셔츠 할인 가격과 혜택
62% 할인된 18,900원으로 스타일리시하게
베이직하우스 세미 오버핏 옥스포드 긴팔 셔츠를 18,900원에 구매할 수 있는 기회를 놓치지 마세요!
원가 49,900원의 62% 할인, 정말 놀라운 가격입니다.
이 가격대에 이런 품질의 셔츠를 찾기는 어렵죠.
착용해보면 착한 가격 이상의 만족감을 느낄 수 있습니다.
스타일리시한 룩을 추구하는 여러분에게 완벽한 선택이 될 것입니다!
세미 오버핏 셔츠의 특징과 장점 분석
우수한 착용감과 편안함을 제공합니다
베이직하우스 세미 오버핏 옥스포드 긴팔 셔츠는 뛰어난 착용감을 자랑합니다.
부드러운 옥스포드 원단 덕분에 착용 시 기분 좋은 느낌을 주며, 여유 있는 핏 덕분에 활동성도 뛰어납니다.
특히 이 셔츠는 다양한 스타일링이 가능해 캐주얼부터 포멀한 자리까지 활용할 수 있어 실용적이에요.
미니멀한 디자인으로 어떤 룩에도 잘 어울립니다.
직접 입어보니 너무 편안해서 계속 손이 가는 아이템입니다.
긴팔 옥스포드 셔츠의 단점 및 구매 시 유의사항
주의해야 할 점과 필수 체크리스트
베이직하우스 세미 오버핏 옥스포드 긴팔 셔츠는 편안한 핏 덕분에 다양한 체형에 잘 어울리지만, 일부는 오버핏 디자인으로 너무 헐렁하게 느낄 수 있습니다.
또한, 옥스포드 소재 특성상 물 세탁 시 줄어들 수 있어 초롱초롱한 색감을 유지하기 위해서는 찬물 세탁이 필수입니다.
품질이 뛰어나지만, 사용 후 관리에 주의해야 합니다.
목 부분의 디자인이 약간 불편하다는 후기도 있으니, 착용감을 테스트해보는 것이 좋습니다.
핸드피니싱이 원활한 이 셔츠는 스타일을 더해주지만, 기능성 또한 고려해야겠죠!
베이식하우스 세미 오버핏 추천 대상과 가이드
이 셔츠를 어떤 분들이 좋아할까요?
베이직하우스 세미 오버핏 옥스포드 긴팔 셔츠는 편안함과 스타일을 동시에 추구하는 분들에게 적합합니다.
수납공간이 많은 캐주얼한 스타일을 선호하거나, 오피스룩에 포인트를 주고 싶은 분들께 추천합니다.
폴로 셔츠나 니트와 매치하면 더욱 멋스럽게 스타일링할 수 있습니다.
특히 62% 할인된 가격(18,900원)으로 구매할 수 있는 지금이 기회입니다!
아래 링크에서 더 자세한 정보와 할인가격을 확인하세요!
베이직하우스 세미 오버핏 옥스포드 긴팔 셔츠 : BASIC HOUSE
[BASIC HOUSE] 제대로 만들어진 기본, 베이직하우스
naver.me
베이직하우스 세미 오버핏 옥스포드 긴... 제품에 자주 묻는 질문 모음
3가지를 알려드립니다
Q: 현재 베이직하우스 세미 오버핏 옥스포드 긴팔 셔츠의 정가는 얼마인가요? 그리고 현재 할인율은 몇 퍼센트인가요?
A: 이 셔츠의 원가는 49,900원이지만, 현재 할인된 가격인 18,900원으로 판매되고 있어 62%의 큰 할인을 제공하고 있습니다. 스타일과 가격 모두 만족스러운 기회입니다!
Q: 베이직하우스 세미 오버핏 옥스포드 긴팔 셔츠의 주요 특징은 무엇인가요?
A: 이 제품은 세미 오버핏 스타일로 편안한 착용감을 제공하며, 옥스포드 소재로 고급스러운 느낌과 내구성을 겸비하고 있습니다. 다양한 룩에 매치하기 좋습니다.
Q: 이 셔츠를 구매할 만한 이유는 무엇인가요?
A: 세미 오버핏 디자인으로 트렌디하며, 어떤 하의와도 잘 어울리므로 다양한 스타일링이 가능합니다. 지금 할인을 적용받아 저렴하게 구매할 수 있는 기회이니 적극 추천합니다!
⚠⚠️ 본 글은 AI의 도움을 받아 수정 및 활용하여 한땀한땀 작성하였습니다.
일부 부정확한 정보가 포함될 수 있습니다.
🔒 무단 전재, 복사, 배포를 금합니다.
hakiosae@gmail.com</t>
  </si>
  <si>
    <t>https://postfiles.pstatic.net/MjAyNTExMDJfMTA0/MDAxNzYyMDgxNzA2ODkx.UIoozVp1w5kvmqj2QLxpuflbazc55qncB3M3XdPFsMQg.s43XZGj1n6Av4sRr1iR_NNLk43QrAjSxh7L_xWFJKrog.PNG/ad_banner_47.png?type=w966|||https://dthumb-phinf.pstatic.net/?src=%22https%3A%2F%2Fshop-phinf.pstatic.net%2F20251030_48%2F176179692229472JVE_JPEG%2F74850855885338472_1893123565.jpg%3Ftype%3Do1000%22&amp;type=ff500_300|||https://postfiles.pstatic.net/MjAyNTExMDJfMjU5/MDAxNzYyMDgxODE5MzI3.2A1yUllf_9bEcF71w1qjkZTTiTjnjoWyxZ5-NsmIYSMg.Q8PQi6rT67kBvt7jNB3PoYChz498wd4OIMF7ngf-JBUg.JPEG/%EB%B2%A0%EC%9D%B4%EC%A7%81%ED%95%98%EC%9A%B0%EC%8A%A4_%EC%84%B8%EB%AF%B8_%EC%98%A4%EB%B2%84%ED%95%8F_%EC%98%A5%EC%8A%A4%ED%8F%AC%EB%93%9C_%EA%B8%B4%ED%8C%94_%EC%85%94%EC%B8%A0_thumb_1.jpg?type=w80_blur|||https://postfiles.pstatic.net/MjAyNTExMDJfMjY5/MDAxNzYyMDgxODc4MjUx.jpak2wgqq5LRKj57XPq1t2l8eR3Ht9a5kFFDltskjq8g.8Ug9etl0AiQhNpuOqUuduRe-OObUxJ_tlyg_AEbriL4g.JPEG/%EB%B2%A0%EC%9D%B4%EC%A7%81%ED%95%98%EC%9A%B0%EC%8A%A4_%EC%84%B8%EB%AF%B8_%EC%98%A4%EB%B2%84%ED%95%8F_%EC%98%A5%EC%8A%A4%ED%8F%AC%EB%93%9C_%EA%B8%B4%ED%8C%94_%EC%85%94%EC%B8%A0_thumb_2.jpg?type=w80_blur|||https://postfiles.pstatic.net/MjAyNTExMDJfMTI2/MDAxNzYyMDgxOTYwNDYw.nzi5Lbth3HQDBAivBkSuJWuJYnqTfUOp4hJJAkC8v9wg.xpucpi1_HSfkuN8qyZKi98KQrGBlhyUJUWrBzvxZtVAg.JPEG/%EB%B2%A0%EC%9D%B4%EC%A7%81%ED%95%98%EC%9A%B0%EC%8A%A4_%EC%84%B8%EB%AF%B8_%EC%98%A4%EB%B2%84%ED%95%8F_%EC%98%A5%EC%8A%A4%ED%8F%AC%EB%93%9C_%EA%B8%B4%ED%8C%94_%EC%85%94%EC%B8%A0_thumb_3.jpg?type=w80_blur|||https://postfiles.pstatic.net/MjAyNTExMDJfMzMg/MDAxNzYyMDgyMDE2NTQx.MvER3xtTXt_fmMq2aTqoYm-4udki1g9KrxwyWkeoUBwg.QQNzeCrfr1A9a4kgaFiua_MIdwxLM0jMw2WrLLHbuvgg.PNG/%EB%B2%A0%EC%9D%B4%EC%A7%81%ED%95%98%EC%9A%B0%EC%8A%A4_%EC%84%B8%EB%AF%B8_%EC%98%A4%EB%B2%84%ED%95%8F_%EC%98%A5%EC%8A%A4%ED%8F%AC%EB%93%9C_%EA%B8%B4%ED%8C%94_%EC%85%94%EC%B8%A0_style4_v4.png?type=w80_blur|||https://postfiles.pstatic.net/MjAyNTExMDJfMjkx/MDAxNzYyMDgyMDc1NzM3.sYspLlJKeGCORMdjbaQ2qgn5rf85h485lo4NiVESrewg.DbrXmElv5AwG87QPA7pX8BMXu3mE0t1bVIxAZvsDZQkg.PNG/%EB%B2%A0%EC%9D%B4%EC%A7%81%ED%95%98%EC%9A%B0%EC%8A%A4_%EC%84%B8%EB%AF%B8_%EC%98%A4%EB%B2%84%ED%95%8F_%EC%98%A5%EC%8A%A4%ED%8F%AC%EB%93%9C_%EA%B8%B4%ED%8C%94_%EC%85%94%EC%B8%A0_style5_v5.png?type=w80_blur|||https://dthumb-phinf.pstatic.net/?src=%22https%3A%2F%2Fshop-phinf.pstatic.net%2F20251030_48%2F176179692229472JVE_JPEG%2F74850855885338472_1893123565.jpg%3Ftype%3Do1000%22&amp;type=ff500_300</t>
  </si>
  <si>
    <t>해드릴게</t>
  </si>
  <si>
    <t>웨이브 한달무료 종료 요금제 할인, 해지 방법.. : 네이버블로그</t>
  </si>
  <si>
    <t xml:space="preserve">웨이브 요금제 안내 현재 웨이브 요금제는 프리미엄 / 스탠다드 / 베이식 / 광고형 스탠다드의 네... 지원 베이식 7,900원(79,000원) 모든 기기 HD 1명 - 광고형 스탠다드 5,500원 모든 기기 FHD 2명 광고 포함 또한... </t>
  </si>
  <si>
    <t>blog.naver.com/bori2477</t>
  </si>
  <si>
    <t>https://blog.naver.com/bori2477/224062104790</t>
  </si>
  <si>
    <t>bori2477</t>
  </si>
  <si>
    <t>웨이브(Wavve)는 다양한 방송 채널을 실시간으로 볼 수 있는 국내 OTT 플랫폼이다. 특히 지상파 콘텐츠를 즐기는 이용자에게는 최적의 서비스로 꼽힌다. 오리지널 콘텐츠는 다소 약세이지만, 주요 공중파 채널 대부분을 지원하며 예전 드라마나 예능도 다양하게 제공한다.
다른 플랫폼이 대부분 VOD 기반이라면, 웨이브는 실시간 방송 시청이 가능하다는 점이 큰 장점이다. 드라마 시청 중 놓친 구간은 ‘타임머신’ 기능을 통해 최대 1시간 내로 다시 볼 수 있고, ‘퀵VOD’를 통해 최신 방송을 빠르게 시청할 수도 있다. TV용으로 사용하기에는 상당히 편리한 서비스이다.
반면 영화 콘텐츠는 상대적으로 부족하다. 일부 영화는 개별 구매(영화 플러스)를 해야 하며, 가격도 저렴하지 않다. 따라서 영화를 주로 보는 이용자라면 넷플릭스가 더 적합하다. 웨이브는 한달 무료 이용 후 해지할 수도 있다.
웨이브의 약점 중 하나는 오리지널 콘텐츠다. 독자적인 시리즈를 내놓고 있으나, 큰 인기를 끈 작품은 드물다. 티빙의 ‘환승 연애’나 넷플릭스의 ‘오징어 게임’, ‘더 글로리’ 등과 비교하면 콘텐츠 경쟁력은 아쉬운 편이다.
한편, 처음 이용하는 사용자는 과거에는 한달 무료(100원 결제) 혜택을 받을 수 있었지만, 현재는 종료되었다.
웨이브 요금제 안내
현재 웨이브 요금제는 프리미엄 / 스탠다드 / 베이식 / 광고형 스탠다드의 네 가지로 구분된다.
구분
월 요금(연 결제 시)
지원 기기
최대 화질
동시 시청
비고
프리미엄
13,900원(139,000원)
모든 기기
UHD
4명
VOD 30만 편 이상, 라이브 100개 이상 채널
스탠다드
10,900원(109,000원)
PC/태블릿/폰
FHD
2명
다운로드, QVOD, 타임머신 기능 지원
베이식
7,900원(79,000원)
모든 기기
HD
1명
-
광고형 스탠다드
5,500원
모든 기기
FHD
2명
광고 포함
또한 FLO나 Bugs 같은 음악 스트리밍 서비스와 제휴한 멤버십도 있으며, 나라사랑카드 사용자에게는 소폭 할인 혜택이 주어진다.
웨이브 해지 방법
웨이브를 해지하려면 Wavve 앱 → MY → 나의 이용권 → 자동 결제 해지 순서로 진행하면 된다.
연간 결제 이용자의 경우 결제 취소를 해도 이미 납부한 기간 동안은 서비스를 그대로 이용할 수 있다. 이후 기간 만료 시 자동으로 구독이 종료된다.
요금제 할인 꿀팁 (최대 70% 세일)
현재 웨이브 공식 한달 무료는 종료되었지만, 다른 방법으로 저렴하게 이용할 수 있다. ‘겜스고(GamsGO)’라는 글로벌 계정 공유 플랫폼을 이용하면, 안전하게 저렴한 가격으로 이용권을 구매할 수 있다.
구분
정가
겜스고 가격
1개월
13,900원
X
3개월
41,700원
약 12,000원(9.49달러)
국내외 다양한 OTT 서비스(웨이브, 티빙, 넷플릭스, 유튜브 프리미엄, 디즈니+) 지원
24시간 고객센터 운영
24시간 이내 환불 가능
3개월 기준 약 12,000원대(월 4,000원 수준)로 이용 가능하며, 이는 기존 프리미엄 대비 약 70% 저렴하다.
겜스고 바로가기
추가 할인 방법
겜스고 공식 링크 접속
구입 페이지에서 ‘쿠폰 코드 입력’을 클릭
쿠폰번호 : 4XNY8 입력
유튜브 프리미엄 / 넷플릭스 : 추가 5% 세일
웨이브 / 티빙 / 왓챠 등 : 추가 3% 세일
월 4천원 대 구독 바로가기
웨이브는 방송 콘텐츠 중심으로 시청하는 사용자에게 특히 유용한 플랫폼이다. TV가 없는 1인 가구나 모바일 중심 시청자라면, 한 번쯤 이용해 볼 만하다. 정식 요금이 부담된다면 겜스고를 통한 저렴한 이용도 고려해 볼 수 있다.</t>
  </si>
  <si>
    <t>https://postfiles.pstatic.net/MjAyNTExMDJfMTIz/MDAxNzYyMDc0MDUzMTc3.JsXSWKhEy4uWo1KZ8fN2R3Pgd5A64iYaCmdmkTNGjFQg.gWP6YjDJEsgSkHukEOy7hTHkoisbGxbavsU0XPNMFg4g.JPEG/%EB%B8%8C%EB%9E%9C%EB%93%9C%EB%A1%9C%EA%B3%A0.jpg?type=w966|||https://postfiles.pstatic.net/MjAyNTExMDJfMTcz/MDAxNzYyMDc0MDc0MzQ3.jLwQayDkgfMxVjxmNKdbd53e7RwE2tQ9uy5D3Oz4eZwg.sG6H4pnpHvaL9j99GT426gL2EXZ3WfBVCz28bKyn-VAg.JPEG/wavve_join5.jpg?type=w80_blur|||https://postfiles.pstatic.net/MjAyNTExMDJfMTI2/MDAxNzYyMDc0MDY1ODA2.jpC3LocYtO-E6kVDLNqPC9kJvaAIh8AU_c9j600Ldn4g.XHxsHsYPOpM65q8dZKygr73CHfob9sWHu9inp_PHbGkg.PNG/%EB%8B%A4%EC%9A%B4%EB%A1%9C%EB%93%9C_(1).png?type=w80_blur|||https://postfiles.pstatic.net/MjAyNTExMDJfMjYy/MDAxNzYyMDc0MDkzMDc4.fkOYEGskijmGiAU7SrrpXpEFyPLP21uc2Evqp5-FOvQg.dfxyO-6wVylK4wagCw3cl5d4RRLY621RLy_hhTq_ydog.PNG/%EB%8B%A4%EC%9A%B4%EB%A1%9C%EB%93%9C.png?type=w80_blur|||https://postfiles.pstatic.net/MjAyNTExMDJfMTc5/MDAxNzYyMDc0MDQ0ODI2.MyXKP_Mc-QRdR1LwdJZ-I1Fi_oVTPXipft5IkV7Pc14g.5tW5r3hQvOeRf52JDRyNe9kgMIXp5DMNgEQAVyoC78wg.PNG/%EB%8B%A4%EC%9A%B4%EB%A1%9C%EB%93%9C_(3).png?type=w80_blur|||https://postfiles.pstatic.net/MjAyNTExMDJfMTUw/MDAxNzYyMDc0MTUxNjMx.olMdgRnoJpAU8obzU3ZX4M9LCaJzfIDrHxNooERcNugg.rDTMtu8WG-5CMCBAJbG7Q3j3pkmHpC3krR9IWwMqnG8g.PNG/image.png?type=w80_blur|||https://postfiles.pstatic.net/MjAyNTExMDJfMjQ1/MDAxNzYyMDc0MjMxNjIy.GZCeLuiBxgR8PaVika-urXvVxwL63-D4xmmMtaSVklYg.x8B4cP2IWof3jtZBwIjbg_bXSGWam75MlHiGoMNlfn8g.PNG/image.png?type=w80_blur|||https://blogfiles.pstatic.net/MjAyNTExMDJfMjYg/MDAxNzYyMDczNTU0MzQ2.y6f-ODafwuB3yxESCAiD-xic2dC0CEqyMq0JEEuy7Tog.eNccAt_lN822XdrOW84NWaTsXjKoZ3_s5PSNiXTz8EIg.PNG/namecard.png?type=w1|||https://blogfiles.pstatic.net/MjAyNTExMDJfMjgw/MDAxNzYyMDczNTU0NjA3.f3dL4tqVsYYYQcruZVRrUAE-ZO_bllgfPvZSoZSraKAg.S1JdcEqTcBGE03eaUDc8T64Wiga23tqw2GdKh4hUllgg.PNG/%EB%B8%8C%EB%9E%9C%EB%93%9C.png?type=w1</t>
  </si>
  <si>
    <t>슬기로운 병원생활 끝! : 네이버 블로그</t>
  </si>
  <si>
    <t>응원 덕분에 다시 나의 미래에 도전✨ 감사했습니다♀️ 나 잘 할 수 있겠지? 화이팅 내 자신 보고싶을거야 다들 .... 만남은 쉽고 이별은 어려워 (Feat. Leellamarz) (Prod. TOIL) 노래베이식(Basick)2021.11.20.</t>
  </si>
  <si>
    <t>blog.naver.com/ssunayou</t>
  </si>
  <si>
    <t>https://blog.naver.com/ssunayou/224062177304</t>
  </si>
  <si>
    <t>ssunayou</t>
  </si>
  <si>
    <t>약 4년간 다녔던 직장을 그만뒀다
새로운 일을 무작정 한다고 그만 두는게 약간은 두려웠지만, 지금 아니면 언제해! 라는 마인드로 결정했다
함께했던 시절 무시 못한다고
마지막 인사 할 때 나도 모르게 뿌엥 하고 울어버리고...🥹 (나 f야?)
많이 생각나고 그리울 거 같다
정말 나약했던, 살기 싫었던 시기에도 이 곳에서 견딜 수 있었으니까..
잊지 못 할 나의 20대 중후반의 마지막 직장이여💜 안녕
많은 사람들의 응원 덕분에 다시 나의 미래에 도전✨
감사했습니다🙇‍♀️
나 잘 할 수 있겠지? 화이팅 내 자신
보고싶을거야 다들 ....
만남은 쉽고 이별은 어려워 (Feat. Leellamarz) (Prod. TOIL)
노래베이식(Basick)2021.11.20.</t>
  </si>
  <si>
    <t>https://postfiles.pstatic.net/MjAyNTExMDJfMTkw/MDAxNzYyMDc5ODAxMjQ5.QbgZvZRP5ukPGzLbHl9vGOB-NFK_KgtpKrpUtjQV55Mg.hqiwEo6Wm1OVpfGYObz9ItSKmtLT8LhEr_Z5wRUort4g.JPEG/10823DC9%EF%BC%8D387D%EF%BC%8D4AAA%EF%BC%8D85E6%EF%BC%8D9C70D6E2E9E5%EF%BC%8D561%EF%BC%8D000000A1A690A893.jpg?type=w966|||https://musicmeta-phinf.pstatic.net/album/006/706/6706049.jpg?type=r204Fll&amp;v=20231206181241</t>
  </si>
  <si>
    <t>OOTD 패션트렌드 힙한스타일 코르티스 코어 .. : 네이버블로그</t>
  </si>
  <si>
    <t xml:space="preserve">컬러: 베이식(블랙·화이트·그레이·네이비)에 포인트 1–2색만 톡.  스타일링 톤: “꾸안꾸”보다는 ‘신경 썼지만 힘 빼 보이는’ 균형감이다. 요약: 루즈+레이어드+포인트컬러, 과함을 피하면서 개성을... </t>
  </si>
  <si>
    <t>blog.naver.com/dugjil99</t>
  </si>
  <si>
    <t>https://blog.naver.com/dugjil99/224062100500</t>
  </si>
  <si>
    <t>dugjil99</t>
  </si>
  <si>
    <t>GO!
노래CORTIS (코르티스)2025.09.08.
요즘 엑스(X)와 틱톡을 보면
“코르티스코어”라는 표현이 자주 보이죠.
처음 보면 낯설 수 있지만
막상 이미지 몇 장을 보면 바로 감이 옵니다.
쿨하고 칠(chill)한 스트릿 무드를
한 단어로 압축한 말이에요.
한마디로 “설명 없이도 통하는 무드 태그”라
보면 됩니다.
코르티스코어 쿨한무드 칠무드
1) 코르티스 코어 뜻과 배경
❤️ 아이돌 그룹 ‘코르티스’의
개성 강한 스타일에서 파생된 키워드입니다.
❤️ 정해진 틀은 없지만
공통적으로 스트릿·자유분방·살짝 과감함의
조합이에요.
❤️ 친구들과 드레스코드를 정할 때
“오늘 코르티스코어로 가자”라고 하면
긴 설명 없이 분위기가 합의되기 쉽습니다.
핵심은 "힘을 뺀 듯 보이지만
디테일은 확실"한 쿨톤 무드예요.
2) 왜 급속도로 퍼졌을까요
💚 엑스(X)에서
‘코르티스코어 한 장 요약’ 카드가
대규모로 확산되며 바이럴이 일어났어요.
💚 단어 하나로 룩·태도·사진 분위기까지 공유되니
친구들끼리 합의가 쉬운 약속어가 됐습니다.
💚 OOTD, 하울, 셀카 같은
숏폼 콘텐츠에 바로 적용 가능하니
크리에이터 입장에서도 쓰기 편해요.
3) 무드 키워드로 이해하면 쉬워요
🧡 실루엣: 루즈·와이드 중심,
상·하의 한쪽은 슬림/크롭으로 대비를 준다.
🧡 소재/워싱: 워시드 데님, 소프트 가죽,
테크 원단 믹스가 잘 맞아요.
🧡 아이템: 보머/트랙재킷/후디,
와이드 데님·카고·조거, 볼캡/비니/초커.
🧡 컬러: 베이식(블랙·화이트·그레이·네이비)에
포인트 1–2색만 톡.
🧡 스타일링 톤: “꾸안꾸”보다는
‘신경 썼지만 힘 빼 보이는’ 균형감이다.
요약: 루즈+레이어드+포인트컬러,
과함을 피하면서 개성을 살린다.
4) Z세대가 실제로 이렇게 써요
💛 사진 보내며
“이거 완전 코르티스 감성임”이라고 말해요.
💛 모임 공지에
“코르티스코어 드레스코드”라고 적어 설명을 줄여요.
💛 새로운 코디 도전할 때
“오늘 코르티스로 살짝 밀어볼까”라고 표현해요.
예전에 ‘뉴진스 감성’, ‘디토 감성’처럼
음악/패션/사진 무드를 한 단어로 비유하는
흐름의 연장선이라고 보면 이해가 쉽습니다.
5) 바로 따라 하기: 체크리스트예요
💜 상의는 루즈핏/크롭 중 택1로 실루엣 대비 주기
💜 하의는 와이드·카고·조거 중 택1
💜 액세서리 1포인트(볼캡, 얇은 초커, 선글라스 등)
💜 스니커즈는 빈티지 러닝/테크 무드로 마무리
💜 컬러는 3색 이내, 포인트 한 색만 세게 🎯
6) 상황별 코디 레시피예요
A. 캠퍼스/일상
▪️ 와이드 데님 + 크롭 탑 + 보머/카디건
+ 볼캡 + 로우탑 스니커즈
▪️ 팁: 상의 크롭이면 하의는 와이드로 볼륨,
색은 3색 이내로 정리해요.
B. 모임/공연
▪️ 트랙재킷 + 조거팬츠
+ 테크 러닝화 + 미니 크로스
▪️ 팁: 반사 디테일·패널 절개 같은
테크 포인트가 코르티스 무드에 잘 맞습니다.
C. 나이트 아웃
▪️ 가죽(에코) 재킷 + 블랙 와이드 슬랙스
+ 링 벨트 + 스퀘어토 스니커즈
▪️ 팁: 전면 올블랙에
메탈 액세서리 1포인트만 더해 칠함 유지해요.
7) 사진/콘텐츠 연출 팁이에요
💙 구도: 하이·로우 앵글로 다리/실루엣 강조,
네거티브 스페이스 활용
💙 배경: 주차장, 지하 통로,
메탈·콘크리트 배경이 무드에 잘 맞습니다.
💙 보정: 채도는 낮추고 대비·섀도 살짝 올려
쿨톤을 강화해요.
💙 캡션: “#코르티스코어 #OOTD”처럼
무드태그+룩태그 조합이 좋아요.
8) 흔한 실수 &amp; 피해야 할 점이에요
💢 과한 로고/컬러 남발
→ 무드가 산만해져요. 포인트는 1–2개만.
💢 헤어·메이크업 오버
→ 룩의 ‘힘 뺀’ 균형이 무너집니다.
결 정돈+톤 깔끔 유지가 핵심.
💢 실루엣 통일 부족
→ 상·하의 볼륨 대비 없이
모두 타이트/모두 루즈면 밸런스가 애매해요.
9) 빠르게 쇼핑하려면
이런 키워드를 쓰면 편해요
❤️ 상의: 보머, 트랙재킷, 크롭 후디, 오버 셔츠
❤️ 하의: 와이드 데님, 카고 팬츠, 조거
❤️ 신발: 빈티지 러닝, 컵솔 스니커즈,
고프코어 스니커즈
❤️ 액세서리: 볼캡, 비니,
슬림 목걸이·초커, 미니 크로스
코르티스 코어 = '쿨+칠 스트릿' 무드를
한 단어로 공유하는 약속어입니다.
드레스코드가 애매하면
"코르티스코어로 가요"라고 하면
통일감 있게 맞출 수 있어요.</t>
  </si>
  <si>
    <t>#코르티스코어, #OOTD</t>
  </si>
  <si>
    <t>https://musicmeta-phinf.pstatic.net/album/034/872/34872045.jpg?type=r204Fll&amp;v=20250908180918|||https://postfiles.pstatic.net/MjAyNTExMDJfMTEw/MDAxNzYyMDczNjkzNjQx.XPaViQv5lqa3juf1Xv-W_bLUXikCNYXnsbR_OKgSG6wg.G3hLgm1EKheWQANmPc3hqMQM9lfCCNmiGfl50c0OMacg.PNG/image.png?type=w80_blur|||https://img2.stibee.com/66918_3058397_1761540062743425662.jpeg|||https://postfiles.pstatic.net/MjAyNTExMDJfMjcx/MDAxNzYyMDcyNTcyNzY0.o3QWgDRmqbwmjcDCV52MVuvyu73JeBRuRi7Pnp-Ac0Ig._QHHXd3uX1P1S40CiCito1tfBRanJ1mogWZkKd7XJz0g.PNG/image.png?type=w80_blur|||https://search.pstatic.net/common/?src=http%3A%2F%2Fblogfiles.naver.net%2FMjAyNTA5MjRfMTg1%2FMDAxNzU4NjkyMjc1ODU0.6TbbU3WGYAyUH7LttaVVmFg5hLt7gcIdyyo2YbzUQ1Eg.BfMAzbq7K3ZtxcqeHFmSbvvcOZ9diYZzdt3OwxoO8mAg.JPEG%2F3.JPG&amp;type=sc960_832|||https://search.pstatic.net/common/?src=http%3A%2F%2Fimgnews.naver.net%2Fimage%2F108%2F2025%2F09%2F09%2F0003363949_002_20250909070711126.jpg&amp;type=sc960_832|||https://search.pstatic.net/common/?src=http%3A%2F%2Fimgnews.naver.net%2Fimage%2F144%2F2025%2F09%2F11%2F0001066583_001_20250911103818552.jpg&amp;type=sc960_832|||https://search.pstatic.net/common/?src=http%3A%2F%2Fblogfiles.naver.net%2FMjAyNTA4MTFfODgg%2FMDAxNzU0OTE1NDM1NzE5.1yLdKU9Lpqm3P5lN73CYP-8KpT1pmfGW_ykFwgoN7qsg.5Kdn0j7_3YrxTxCbjDsBbO02mfpiieBb5WJXJ8x7sX8g.PNG%2F%25B4%25DC%25C3%25BC2.png&amp;type=sc960_832|||https://search.pstatic.net/common/?src=http%3A%2F%2Fblogfiles.naver.net%2FMjAyNTA5MTFfMTQ0%2FMDAxNzU3NTkxMzM1Mjky.FtVucOBKKkWkSOh0wVNeGndSrslWHY1eEGq9PbTj4_Ug.xbITLCHk1M6F_tzrNcwO-_TRBr8VVZwAuGJkAxb2ynsg.PNG%2Fimage.png&amp;type=sc960_832|||https://search.pstatic.net/sunny/?src=https%3A%2F%2Fwww.allkpop.com%2Fupload%2F2025%2F08%2Fcontent%2F241724%2F1756070640-c2.jpg&amp;type=sc960_832|||https://search.pstatic.net/common/?src=http%3A%2F%2Fimgnews.naver.net%2Fimage%2F022%2F2025%2F08%2F19%2F20250819517600_20250819200007978.jpg&amp;type=sc960_832</t>
  </si>
  <si>
    <t>“💡 KT삼미시장점 | 초이스·스페셜·베이직.. : 네이버블로그</t>
  </si>
  <si>
    <t xml:space="preserve">스페셜요금제 #베이식요금제 #삼미시장핫플 #상록수역대리점 #안산KT #KT상담 #카카오채널 #지니TV #인터넷결합 #IPTV결합 #휴대폰할인 #KT혜택 #KT패밀리 #Y덤혜택 #VVIP멤버십 #VIP멤버십 #지니TV모든G... </t>
  </si>
  <si>
    <t>blog.naver.com/kt_lake</t>
  </si>
  <si>
    <t>https://blog.naver.com/kt_lake/224062089680</t>
  </si>
  <si>
    <t>kt_lake</t>
  </si>
  <si>
    <t>📱 KT삼미시장점 | 초이스·스페셜·베이직 요금제 완벽 가이드 + 꿀팁 총정리 (VAT 포함)
안녕하세요 😊 KT삼미시장점입니다!
오늘은 KT 대표 요금제인 초이스·스페셜·베이직 요금제를 완전 정복하는 시간을 가져볼게요💪.
단순한 요금 안내를 넘어, 혜택 선택법·멤버십 팁·Y덤 활용법·로밍까지 세세하게 풀어드릴게요. ✨
📌 본 글은 부가세 포함 실 납부 기준 금액으로 작성되었으며, 모든 정보는 KT삼미시장점의 공식 안내 기준을 토대로 정리했습니다.
1️⃣ 요금제 핵심 비교표 (부가세 포함)
모든 요금제는 음성통화/문자 기본제공 + 영상·부가통화 300분이 포함되어 있어요. 📞
요금제
월정액
데이터
데이터 로밍
초이스 혜택 (택1)
플러스 혜택 (택1)¹
멤버십 등급
단말보험 할인
스마트기기 혜택
데이터 쉐어링
Y덤 (만34세 이하)
초이스 프리미엄
130,000원
무제한 (FUP 적용)
무제한(최대 3Mbps)²
OTT·콘텐츠·삼성가전·폰케어 등 중 택1
지니뮤직·밀리·블라이스 셀렉트⁴ 중 택1
VVIP 제공
월 최대 4,500원 할인⁵
1회선 무료
1회선 무료
데이터 2배/공유 2배 혜택
초이스 스페셜
110,000원
무제한 (100Kbps)
무제한(100Kbps)
동일
동일
VVIP 제공
동일
1회선 무료
1회선 무료
동일
초이스 베이직
90,000원
무제한 (FUP)
무제한(100Kbps)
동일
미제공¹
VIP 제공
동일
선택 시 50% 할인 등 (Y덤 적용 시 상이)
선택 시 혜택 상이
동일
💡 프리미엄 팁!
프리미엄은 모든 혜택이 한 번에 들어간 **‘풀옵션형 요금제’**예요. 해외 출장이나 OTT 즐기는 분께 강력 추천! 🌍
📌 비교 포인트 요약
프리미엄: 로밍/OTT/스마트기기 모두 포함된 최고급형 💎
스페셜: 실속형 + VVIP 혜택 조합 🏆
베이직: Y덤으로 할인 극대화 가능한 합리형 💡
¹ 티빙·지니·밀리 선택 시 플러스 혜택 미제공.
² 프리미엄은 해외에서 3GB 초과 시 당일 200Kbps 속도제어.
³ 유튜브 프리미엄은 2024년 5월 이후 신규 가입 시 +4,450원 추가.
⁴ 블라이스 셀렉트는 2025년 12월 31일까지 제공, 2026년 자동 종료.
⁵ 멤버십 포인트로 단말보험 월 최대 4,500원 할인 가능.
2️⃣ 스페셜·베이직 요금제 심플 비교표
요금제
월정액
데이터
데이터 로밍
음성/문자
멤버십
단말보험
스마트기기 혜택
Y덤
스페셜
100,000원
무제한(100Kbps)
무제한(100Kbps)
집·이동전화 무제한 + 부가통화 300분
VVIP
월 4,500원 할인
공유데이터 2배
데이터 2배 등
베이직
80,000원
무제한(FUP)
무제한(100Kbps)
기본제공
VIP
동일
스마트기기 50% 할인
동일
✨ 두 요금제 모두 실속파 고객님께 인기! 스마트워치나 태블릿과 함께 쓰면 효율 만점이에요.
3️⃣ 초이스 &amp; 플러스 혜택 고르는 방법 🧭
Step 1. 콘텐츠 취향 선택 🍿
영상 덕후형: 넷플릭스·디즈니+·티빙
음악 감성형: 지니뮤직
독서/자기계발형: 밀리의서재
팬덤형: 위버스 💜
Step 2. 플러스 혜택 추가 🎶
지니뮤직·밀리·블라이스 셀렉트 중 택1 (단, 초이스가 티빙/지니/밀리일 경우 미제공)
Step 3. 멤버십 등급 및 부여일 확인 📅
프리미엄/스페셜 = VVIP 멤버십
베이직 = VIP 멤버십
1~15일 가입 시 → 익월 1일 / 16~말일 가입 시 → 익월 16일 등급 부여
Step 4. 단말보험 할인 꿀팁 💎
멤버십 포인트로 월 최대 4,500원 절감! 스마트폰 케어 비용 줄이기 딱 좋아요.
Step 5. 플러스 혜택 병행 체크
OTT + 멤버십 + 스마트기기 할인까지 연결 시, 월 체감 할인액 2만 원 이상! 💰
4️⃣ 만 34세 이하 전용 혜택 ‘Y덤’ 🎁
Y덤은 KT만의 특별한 청년 전용 혜택 프로그램이에요. 💥
✅ 무제한 요금제 → 스마트기기·테더링 2배 데이터 제공
✅ 비무제한 요금제 → 기본 데이터 2배 제공
✅ 초이스 베이직 → 스마트기기 1회선 무료 or 데이터 쉐어링 무료
✅ 베이직(심플) → 스마트기기 요금 50% 할인
💬 Y덤 고객은 5G 데이터쉐어링·스마트기기 결합 시 우대조건 추가 적용!
👀 예시:
베이직 + Y덤 + 워치 결합 시 → 월 최대 15,000원 절약 🎉
프리미엄 + Y덤 + 태블릿 결합 시 → 데이터 2배 + 기기무료 혜택 동시 적용!
5️⃣ 우리 아이 할인 👨‍👩‍👧‍👦
KT는 가족 모두가 혜택을 누리도록 돕습니다 💕
초이스 프리미엄/스페셜 고객은 자녀의 5G 주니어·주니어 슬림 요금제에서 매월 8,800원 할인을 받습니다.
기간: 초이스 유지 기간 동안 계속 적용
중복: 스마트기기 1회선 무료 혜택과 중복 불가
신청: 가족관계 확인 후 KT삼미시장점에서 바로 등록 가능
📍 실제 방문 시 바로 할인 적용 도와드려요!
6️⃣ 데이터 정책 &amp; FUP (공정사용정책) ⚙️
요금제
스마트기기 공유 데이터
초이스 프리미엄
100GB 별도 제공 + 이후 200Kbps
초이스 스페셜
70GB 별도 제공 + 이후 200Kbps
초이스 베이직
40GB 별도 제공 + 이후 200Kbps
스페셜(심플)
50GB 별도 제공 + 이후 200Kbps
베이직(심플)
40GB 별도 제공 + 이후 200Kbps
🚫 이용 제한 예시
서버(Web/FTP 등) 운영, CCTV/M2M 등 비개인용 사용
단시간 대용량 전송, 토렌트 등 네트워크 부하 유발 서비스
⚡ FUP는 고객 간 품질 저하 방지를 위한 정책이에요.
KT는 안정적 속도를 위해 일정 기준 이상 사용 시 일시적 속도제어를 적용합니다.
7️⃣ 해외 데이터 로밍 🌍
초이스 프리미엄: 최대 3Mbps 무제한 (일 3GB 초과 시 200Kbps) → 유튜브·맵 원활 🎥
스페셜/베이직: 최대 100Kbps 무제한 → SNS·카톡·이메일에 적합 💬
✈️ 전 세계 주요국에서 로밍 무료 이용 가능하며, 별도 로밍 요금 없음.
👉 여행지에서도 SIM 교체 없이 국내처럼 사용 가능!
8️⃣ 음성·문자 제공 📞✉️
음성통화: 집/이동전화 무제한 + 영상·부가통화 월 300분
(1일 600분 이상 3회 초과, 월 10,000분 이상 시 제한)
문자: SMS/LMS/MMS 무제한 제공 📩
(하루 500건 초과 발송 시 제한)
📍 SMS 22원, LMS 33원, MMS 220원 (초과 시 부과, VAT 포함)
9️⃣ 가입 &amp; 유의사항 ✅
초이스 혜택 1개 + 플러스 혜택 1개 선택 구조 (티빙/지니/밀리 선택 시 플러스 제외)
혜택은 월 1회 변경 가능
멤버십 등급: 프리미엄/스페셜 → VVIP, 베이직 → VIP
요금제 변경 시 일할 계산
동일 명의 기준 스마트기기/주니어 1회선 + 데이터쉐어링 1회선 할인 가능
요금제 정지 시 할인 중단, 재개 시 자동 복원
📢 KT삼미시장점에서는 모든 조합을 현장에서 직접 시뮬레이션으로 확인해드려요!
🔟 이런 분들께 추천 💖
🎬 초이스 프리미엄: 해외 출장·OTT 헤비유저
🏡 초이스 스페셜: 가족 결합 + 스마트기기 무료 혜택 원하는 실속파
👩‍🎓 초이스 베이직: Y덤 혜택으로 합리적 소비 지향하는 2030 세대
KT삼미시장점에서는 실제 사용 패턴을 분석해 가장 효율적인 요금 조합을 제안드립니다. 🙌
💬 방문 &amp; 상담 안내
📍 KT삼미시장점은 고객님께 딱 맞는 요금·결합·혜택 조합을 1:1 맞춤상담으로 안내합니다.
📞 전화문의: 031-315-6900 / 010-5152-2915
🕒 영업시간: 오전 10시 ~ 오후 8시
50m
© NAVER Corp.
KT 더리더스 삼미시장점
경기도 시흥시 삼미시장1길 19 1층 KT 크라운모바일 삼미시장점
예약
항상 고객님 입장에서 생각하는 KT삼미시장점이 되겠습니다. 💕
📌 해시태그 모음
#KT삼미시장점 #KT요금제 #초이스요금제 #초이스프리미엄 #초이스스페셜 #초이스베이직 #무제한요금제 #스마트기기요금제 #Y덤 #VVIP #VIP #넷플릭스 #디즈니플러스 #티빙 #지니뮤직 #밀리의서재 #위버스 #블라이스 #폰케어 #가전구독 #단말보험 #멤버십할인 #데이터쉐어링 #5G주니어 #로밍무제한 #FUP정책 #공정사용정책 #KT프리미엄 #스페셜요금제 #베이식요금제 #삼미시장핫플 #상록수역대리점 #안산KT #KT상담 #카카오채널 #지니TV #인터넷결합 #IPTV결합 #휴대폰할인 #KT혜택 #KT패밀리 #Y덤혜택 #VVIP멤버십 #VIP멤버십 #지니TV모든G #콘텐츠생활 #데이터2배 #주니어할인 #스마트기기무료 #프리미엄로밍 #KT플러스 #안산핫플 #삼미시장점 #삼미시장대리점 #시흥KT #안산KT #인천KT #부천KT
본 문서는 이해를 돕기 위한 요약이며, 실제 제휴/정책은 변경될 수 있습니다.
최신 조건은 KT삼미시장점 방문 시 즉시 확인 가능합니다. 🙏</t>
  </si>
  <si>
    <t>#KT삼미시장점, #KT요금제, #초이스요금제, #초이스프리미엄, #초이스스페셜, #초이스베이직, #무제한요금제, #스마트기기요금제, #Y덤, #VVIP, #VIP, #넷플릭스, #디즈니플러스, #티빙, #지니뮤직, #밀리의서재, #위버스, #블라이스, #폰케어, #가전구독, #단말보험, #멤버십할인, #데이터쉐어링, #5G주니어, #로밍무제한, #FUP정책, #공정사용정책, #KT프리미엄, #스페셜요금제, #베이식요금제, #삼미시장핫플, #상록수역대리점, #안산KT, #KT상담, #카카오채널, #지니TV, #인터넷결합, #IPTV결합, #휴대폰할인, #KT혜택, #KT패밀리, #Y덤혜택, #VVIP멤버십, #VIP멤버십, #지니TV모든G, #콘텐츠생활, #데이터2배, #주니어할인, #스마트기기무료, #프리미엄로밍, #KT플러스, #안산핫플, #삼미시장점, #삼미시장대리점, #시흥KT, #인천KT, #부천KT</t>
  </si>
  <si>
    <t>https://postfiles.pstatic.net/MjAyNTExMDJfMzAw/MDAxNzYyMDcyMTIwMDI0.RmRHkjTj7cBpGRrOd1A7vlgsBwuuHcCeXXwM7a3Wtzkg.SY8A5KIqU0xUTvsA8OTdHY7yae85DeWobwymo-SmesYg.PNG/SE-cfaa99d7-0da9-4be7-a37f-049878829e45.png?type=w80_blur|||https://postfiles.pstatic.net/MjAyNTExMDJfMzQg/MDAxNzYyMDcyMzc0MjE0.7nTz6IGdar9NxRR9RhX_mbJOpM9Rr5Q5bTKA4ERxwbwg.xHejHi-gqjhLpnIu12rgXkqTAk2qcmpFULVAAftP9tUg.PNG/SE-514f5d95-b8c9-4f36-aaf9-9c47b93930de.png?type=w80_blur|||https://postfiles.pstatic.net/MjAyNTExMDJfMTU0/MDAxNzYyMDcyNTk1NjY4.xyihqr49fATQij0ZZ0uvuMOG5dL7egnEHahQJi9vRfQg.sCZpBtDj8X-MldTviHIoccIB5NdxpR1MLdN8wF7qCG0g.PNG/SE-b86b6f62-e619-4587-9b38-f65dab757455.png?type=w80_blur|||https://postfiles.pstatic.net/MjAyNTExMDJfMTU3/MDAxNzYyMDcyOTk1NDg4.kUGGRxK_R0TbQPNw4abyC6Ui-vbvuvwZR-DIW2j1JlMg.PR8C7EoV6YDRYBHC4heXjY8ciGfMz7UGWOiUdXbmmhgg.PNG/SE-31825550-2aa5-454f-998c-6a8b81667c42.png?type=w80_blur|||https://map.pstatic.net/nrb/styles/basic/1761871134/17/111696/50816.png?mt=bg.ol.sw.ar.lko|||https://map.pstatic.net/nrb/styles/basic/1761871134/17/111696/50815.png?mt=bg.ol.sw.ar.lko|||https://map.pstatic.net/nrb/styles/basic/1761871134/17/111696/50817.png?mt=bg.ol.sw.ar.lko|||https://map.pstatic.net/nrb/styles/basic/1761871134/17/111696/50814.png?mt=bg.ol.sw.ar.lko|||https://map.pstatic.net/nrb/styles/basic/1761871134/17/111697/50814.png?mt=bg.ol.sw.ar.lko|||https://map.pstatic.net/nrb/styles/basic/1761871134/17/111695/50817.png?mt=bg.ol.sw.ar.lko|||https://map.pstatic.net/nrb/styles/basic/1761871134/17/111697/50815.png?mt=bg.ol.sw.ar.lko|||https://map.pstatic.net/nrb/styles/basic/1761871134/17/111695/50816.png?mt=bg.ol.sw.ar.lko|||https://map.pstatic.net/nrb/styles/basic/1761871134/17/111697/50816.png?mt=bg.ol.sw.ar.lko|||https://map.pstatic.net/nrb/styles/basic/1761871134/17/111695/50815.png?mt=bg.ol.sw.ar.lko|||https://map.pstatic.net/nrb/styles/basic/1761871134/17/111697/50817.png?mt=bg.ol.sw.ar.lko|||https://map.pstatic.net/nrb/styles/basic/1761871134/17/111695/50814.png?mt=bg.ol.sw.ar.lko|||https://map.pstatic.net/nrb/styles/basic/1761871134/17/111698/50814.png?mt=bg.ol.sw.ar.lko|||https://map.pstatic.net/nrb/styles/basic/1761871134/17/111694/50817.png?mt=bg.ol.sw.ar.lko|||https://map.pstatic.net/nrb/styles/basic/1761871134/17/111698/50815.png?mt=bg.ol.sw.ar.lko|||https://map.pstatic.net/nrb/styles/basic/1761871134/17/111694/50816.png?mt=bg.ol.sw.ar.lko|||https://map.pstatic.net/nrb/styles/basic/1761871134/17/111698/50816.png?mt=bg.ol.sw.ar.lko|||https://map.pstatic.net/nrb/styles/basic/1761871134/17/111694/50815.png?mt=bg.ol.sw.ar.lko|||https://map.pstatic.net/nrb/styles/basic/1761871134/17/111698/50817.png?mt=bg.ol.sw.ar.lko|||https://map.pstatic.net/nrb/styles/basic/1761871134/17/111694/50814.png?mt=bg.ol.sw.ar.lko|||https://editor-static.pstatic.net/c/resources/common/img/common-icon-places-marker-x2-20180920.png|||https://ssl.pstatic.net/static/maps/mantle/1x/new-scale-normal-b.png|||https://ssl.pstatic.net/static/maps/mantle/1x/new-scale-normal-l.png|||https://ssl.pstatic.net/static/maps/mantle/1x/new-scale-normal-r.png|||https://ssl.pstatic.net/static/maps/mantle/1x/zoom-in-small-normal.png|||https://ssl.pstatic.net/static/maps/mantle/1x/zoom-handle.png|||https://ssl.pstatic.net/static/maps/mantle/1x/zoom-out-small-normal.png|||https://ssl.pstatic.net/static/maps/mantle/1x/zoom-legend-left-on.png|||https://ssl.pstatic.net/static/maps/mantle/1x/zoom-legend-left-normal.png|||https://ssl.pstatic.net/static/maps/mantle/1x/zoom-legend-left-normal.png|||https://ssl.pstatic.net/static/maps/mantle/1x/zoom-legend-left-normal.png|||https://ssl.pstatic.net/static/maps/mantle/1x/zoom-legend-left-normal.png|||https://ssl.pstatic.net/static/maps/mantle/1x/zoom-legend-left-normal.png|||https://simg.pstatic.net/static.map/v2/map/staticmap.bin?caller=smarteditor&amp;markers=color%3A0x11cc73%7Csize%3Amid%7Cpos%3A126.784143%2037.4405193%7CviewSizeRatio%3A0.7%7Ctype%3Ad&amp;w=700&amp;h=315&amp;scale=2&amp;dataversion=176.34</t>
  </si>
  <si>
    <t>031-315-6900</t>
  </si>
  <si>
    <t>(25-10-27) 매크로 정리 (자정 무렵 .. : 네이버블로그</t>
  </si>
  <si>
    <t xml:space="preserve">베센트는 NBC &amp;quot;미트 더 프레스&amp;quot; 프로그램 인터뷰 녹화에서 말레이시아 쿠알라룸푸르에서 합의된... 구글 TPU 프로그램이 브로드컴의 AI 컴퓨팅 매출에서 80% 이상을 차지하고 있기 때문. 관련 소식에... </t>
  </si>
  <si>
    <t>blog.naver.com/mobidic25</t>
  </si>
  <si>
    <t>https://blog.naver.com/mobidic25/224055918814</t>
  </si>
  <si>
    <t>mobidic25</t>
  </si>
  <si>
    <t>&lt;지표&gt;
"[WSJ] Inflation Edges Up, but Less Than Expected, to 3% Rate # 미국 9월 소비자물가(CPI)
- 미국 9월 소비자물가 상승률, 예상보다 낮은 수준인 3% 기록
- 연간 기준 물가상승률은 약간 올랐지만 시장 예상치에는 못 미쳤으며, 이로 인해 연준이 올해 남은 회의에서 금리 인하를 단행할 여지가 커졌음
- 미 노동부는 금요일 발표에서 소비자물가가 전년 동월 대비 3% 상승했다고 밝혔음. 8월의 2.9%보다 약간 높고, 1월 이후 가장 빠른 상승세였음.
- 식료품과 에너지 등 변동성 큰 항목을 제외한 근원물가(core prices)도 3% 상승. 두 지표 모두 시장 예상치인 3.1%를 밑돌았으며, 이는 주거비 상승 압력이 완화된 영향으로 분석됨
- 물가 상승률은 여전히 정책당국이 원하는 수준을 웃돌고 있어 완전히 안정된 상황은 아님. 이번 보고서에 따르면 소매업체들이 여전히 일부 관세 비용을 소비자에게 전가하고 있으며, 이로 인해 의류나 스포츠용품 등의 가격이 상승하고 있음
- 그러나 봄에 트럼프 대통령이 대규모 관세 인상을 발표했을 때 우려했던 만큼 인플레이션이 심각하게 확대되지는 않았음. 미국은 9월 한 달 약 300억 달러의 관세 수입을 거둬들였지만, 기업들이 그 모든 비용을 소비자에게 전가하지는 않았음
- 9월 물가 상승률은 연준이 다음 주 회의에서 금리를 다시 인하할 가능성을 높여줌. 고용 증가세 둔화가 이어지는 가운데 물가 상승이 예상보다 완만하게 유지된다면, 인플레이션 우려가 큰 인사들의 인하 반대 입장이 약화될 수 있음.
- 이번 보고서는 정부 셧다운으로 경제통계 작업이 중단되면서 발표가 1주일 이상 지연. 사회보장연금(Social Security) 생활비 인상 산정에 필요하기 때문에 인플레이션 보고서만은 공개되었음. 고용지표 데이터는 아직 발표가 보류된 상태
- 백악관은 금요일 소셜미디어를 통해, 정부 셧다운으로 인해 물가조사원들이 현장에서 조사를 수행할 수 없기 때문에 10월 인플레이션 보고서는 발표되지 않을 가능성이 높다고 밝혔음
https://www.wsj.com/economy/consumer-price-index-september-2025-e50c3716?st=we5tJW
https://v.daum.net/v/20251027073812637
미중 무역협상 타결 기대, 암호화폐-지수선물 일제 랠리(종합)
(서울=뉴스1) 박형기 기자 = 미중 무역 협상 타결 기대감으로 암호화폐(가상화폐)는 물론, 지수 선물도 일제히 랠리하고 있다. 26일 오후 6시 20분 현재(현지 시각) 뉴욕증시에서 다우 선물은 0.62%, S&amp;P500 선물은 0.67%, 나스닥 선물은 0.89% 각각 상승하고 있다. 이는 상당히 상승 폭이 큰 편이다. 같은 시각 암호화폐도 글로벌
v.daum.net
베센트, 미·중 희토류 원소 및 트럼프 관세 위협에 대한 기본 합의 도출
- 미중 무역 분쟁에 관한 기본 합의의 틀 도출
- 미국, 중국 상품에 대한 100% 관세 부과 취소 시사
- 중국 역시 희토류 수출 통제 유예할 걸로 예상
미국 재무부 장관 스콧 베센트는 일요일 중국 부총리 허리펑과 "매우 실질적인 틀"에 도달했다고 밝혔습니다. 이 틀에 따라 미국은 중국 상품에 대한 관세를 100% 부과하지 않고 중국의 희토류 수출 통제를 연기할 수 있게 됩니다.
베센트는 NBC "미트 더 프레스" 프로그램 인터뷰 녹화에서 말레이시아 쿠알라룸푸르에서 합의된 틀을 통해 도널드 트럼프 대통령 과 시진핑 중국 국가주석이 다음 주에 추가적인 무역 협력을 논의할 수 있게 될 것이라고 말했습니다. 의제에는 미중 무역 균형 강화, 중국의 미국산 대두 및 기타 농산물 구매, 그리고 미국의 펜타닐 사태 통제 등이 포함될 것입니다.
베센트는 트럼프 대통령이 중국 상품에 100% 관세를 부과하겠다고 위협한 상황에서 미국이 이를 강행할 것으로 예상하느냐는 질문에 "아니요, 그렇지 않습니다. 그리고 중국이 논의했던 희토류 수출 통제에 대해서도 어떤 식으로든 유예 조치를 받을 것으로 예상합니다."라고 답했다. 베센트는 최종 조건은 두 정상이 결정할 것이라고 덧붙였다.
Bessent says US, China reach framework deal on rare earths, Trump's tariff threat -NBC interview
https://www.reuters.com/world/china/bessent-says-us-china-reach-framework-deal-rare-earths-trumps-tariff-threat-nbc-2025-10-26/
“10월 FOMC,, 금리 내리고 QT 멈출 것”…美 통화정책 전환 초읽기
“10월 FOMC,, 금리 내리고 QT 멈출 것”…美 통화정책 전환 초읽기
미국 연방준비제도(Fed·연준)가 오는 28~29일(현지시각) 열리는 10월 연방공개시장위원회(FOMC)에서 정책금리를 3.75~4.00%로 25bp(1bp=0.01%p) 인하하고 동시에 QT(양적긴축, Quanti
n.news.naver.com
밀 선물가격은 5.20달러를 넘어서 2% 이상 상승하여, 지난 9월 말 이후 최고치를 기록했으며, 미국과 중국 간 무역 협상에 대한 새로운 낙관주의에 힘입어 상승했습니다. 트럼프 대통령과 시진핑 주석 간 목요일 회담에 주목이 쏠리고 있으며, 주말에 논의된 예비 협정의 구체적인 틀을 확정할 것으로 예상됩니다. 일요일에 미 재무부 장관인 스콧 베센트는 말레이시아에서의 무역 회담을 거친 뒤 중국이 미국 콩을 수년간 대규모로 구매할 것으로 기대하며, 희토류 라이선스 제도의 확대를 1년 미룰 것이라고 밝혔습니다. 러시아의 컨설팅 기관 SovEcon은 시베리아의 역대 수확량을 인용하여 러시아의 2025년 밀 생산량 전망을 세계 최대 수출국 중 하나인 87.8백만 메트릭 톤으로 상향 조정했습니다. 한편, 아르헨티나는 2021-22년도의 역대 기록인 2,300만 톤을 생산할 것으로 예상됩니다.
&lt;시황&gt;
[지난주 금요일 미국장]
[사제콩이_서상영]
10/27 미 증시, 금리인하 기대를 높인 소비자물가지수 둔화에 환호하며 상승
미 증시는 소비자물가지수가 전월 대비 0.31% 상승에 그치는 등 물가 둔화가 진행되자 국채 금리 하락에 상승 출발. 더불어 소비심리 위축 확대 소식도 연준의 금리인하 기대를 높이며 상승 모멘텀이 강화. 여기에 알파벳(+2.67%)이 앤트로픽에 수백억 달러 규모의 AI 칩 공급 계약 소식에 강세를 보이며 시장을 견인했으며, 전일에 이어 주요 테마주들의 강세도 진행. 시장은 결국 물가 안정과 개별 기업들의 호재성 재료 등을 반영하며 상승(다우 +1.01%, 나스닥 +1.15%, S&amp;P500 +0.79%, 러셀2000 +1.24%, 필라델피아 반도체지수 +1.89%)
* 변화 요인: 둔화된 물가, 개선된 PMI, 악화된 소비심리
미국 9월 소비자 물가지수는 전월 대비 0.31% 상승하며 지난 달(+0.38%)과 예상(+0.4%)을 하회. 근원 물가도 전월 대비 0.23% 상승하며 지난달(+0.28%)과 예상(+0.3%)을 보다 하락. 전년대비로도 각각 3.0%을 기록해 시장 예상을 하회. 이러한 물가 둔화는 주로 근원 서비스 부문(+0.24%)에서 나타났으며, 특히 주거 비용의 급격한 둔화가 결정적인 역할. 주거 비용 중 OER이 0.38%에서 0.13% 상승으로 크게 둔화됐는데 이는 뉴잉글랜드 지역 통계적 노이즈 유입된 결과로 추정되며 이를 제외하면 0.24%로 상승. 주거비용을 제외한 근원 서비스 물가는 0.36%로 지난달(+0.33%)보다 높은 수준. 반면, 가솔린 가격이 4.1% 급등했으며 관세 영향을 받은 의류 및 레크리에이션 상품 등으로 인해 근원 상품 인플레이션(+0.22%)은 여전히 높은 수준을 유지. 이렇듯 물가가 예상보다 양호하자 국채 금리 하락, 달러 약세, 주가 상승 진행
한편, 10월 제조업 PMI는 0.2p 상승한 52.2로 개선. 생산지수가 0.3p 상승한 52.8을 기록한 가운데 신규 주문이 2.2p나 증가하며 53.5로 발표. 반면, 고용지수가 1.1p 위축된 50.6을 기록. 10월 서비스업 PMI는 1.0p 상승한 55,2로 기록. 고용지수가 1.1p 상승한 51.6으로 신규사업지수가 0.8p 상승한 54.3으로 발표되며 기업 활동의 모멘텀이 회복돼 있음을 보여줌. 그러나 관세에 대한 영향을 우려하는 경향이 높고 2026년 전망에 대한 기업들의 신뢰도가 더욱 악화됐다고 관련 보고서는 평가.
이런 가운데 10월 소비자심리지수가 잠정치인 55.0에서 53.6으로 하향 조정. 높은 물가가 장기화되면서 가계 재정 악화 우려가 커진 것이 주요 요인. 응답자의 절반 가량이 물가로 인해 가계 재정이 악화됐으며 경기 체감지수는 2022년 8월 이후 최저 수준을 기록. 정부 셧다운에 대한 우려를 언급한 수치는 2%에 그쳐 2019년 장기 셧다운 당시 10%보다 낮아 영향이 없음을 보여줌. 결국 미국 소비자들은 높은 물가, 그리고 고용시장 불안에 더 주목하고 있음을 보여줘 연준의 통화정책의 중요도가 더 높아짐. 이러한 경제지표들의 발표로 주식시장은 상승 모멘텀이 더욱 강화돼 호재에 더 민감한 모습이 이어졌다고 볼 수 있음
* 특징 종목: 구글, 브로드컴, 엔비디아, 코인베이스 강세 Vs. 테슬라 부진
대형기술주: 알파벳, 앤트로픽과의 파트너십 확대로 강세
알파벳(+2.67%)은 구글이 앤트로픽과 파트너십을 확장하며 차세대 클로드 모델 서비스를 위해 수백억달러 규모의 최대 100만개의 TPU를 사용하기로 했다고 발표하자 상승. 최근 관련 내용이 시장에 영향을 주며 상승을 이어왔지만, 실체가 확인되자 상승. 아마존(+1.41%)은 구글과 앤트로픽 파트너십 강화 소식은 부정적이지만 전일에 이어 AI 사업에 대한 기대로 상승. 키방크가 아마존의 AI 잠재력을 시장이 과소평가하고 있다고 주장하며 목표주가 300달러로 제시하는 보고서 결과도 관련 기대를 높임. 애플(+1.25%)은 미-중 관세협상 기대, 그리고 텍사스에 위치한 신규 생산 시설에서 첨단 AI서버를 예정보다 몇 달 앞당겨 출하하기 시작했다는 소식도 긍정적. 팀쿡은 관련 서버가 애플의 프라이빗 클라우드 컴퓨터와 애플 인텔리전스 시스템을 구동할 것이라고 발표. MS(+0.57%)와 메타 플랫폼(+0.59%)도 여타 대형 기술주 강세와 실적에 대한 기대 등으로 상승
반도체: 브로드컴, 구글-앤트로픽 기대로 상승
브로드컴(+2.86%)은 구글 TPU 하드웨어 개발의 핵심 파트너로서 구글과 앤트로픽의 협력의 수혜로 인식되며 상승. 구글 TPU 프로그램이 브로드컴의 AI 컴퓨팅 매출에서 80% 이상을 차지하고 있기 때문. 관련 소식에 브로드컴의 성장 가속화가 진행될 것으로 시장은 기대. 물론, 앤트로픽은 기존 AI 훈련에 엔비디아(+2.25%)의 GPU 사용을 지속할 것이라고 발표해 엔비디아도 상승. 특히 장 마감 앞두고 옵션 거래가 급증하며 수급적인 요인도 영향. 아마존의 AI 칩 개발 파트너인 마벨테크(+1.64%)는 관련 계약에 간접적으로 타격을 입을 수 있다는 평가가 있었지만, 영향은 제한된 가운데 AI 산업에 대한 기대가 확대되며 상승 지속. 마이크론(+5.96%)은 인텔이 개인용 PC 수요가 증가하고 있다고 발표하자 디램, 낸드 가격 상승에 따른 기대가 확대되며 상승. 인텔(+0.31%)은 예상을 큰 폭으로 상회한 EPS 결과로 급등. 그러나 관련 이익 개선이 정부의 자금 수령에 따른 결과라는 일회성이라는 점, 파운드리 부진, 보수적인 가이던스 등이 유입되며 상승 반납. 필라델피아 반도체 지수는 1.89% 상승
반도체, 양자컴퓨터: AMD, IBM, 양자오류 수정 알고리즘 성공 소식에 상승
AMD(+7.63%)는 IBM(+7.88%)이 양자컴퓨팅의 핵심임 양자 오류 수정 알고리즘을 AMD의 칩으로 구동에 성공했다고 발표하자 상승. IBM은 기존 2029년 스탈링이라는 양자 컴퓨터를 구축할 계획이라고 발표했었지만, 이번 성공으로 2028년에 구축할 수 있다는 평가가 부각. 관련 소식은 아이온큐(+1.57%), 디웨이브퀀텀(+5.12%)등 양자컴퓨터 관련 기업들에게는 경쟁에 대한 불안으로 작용할 수 있지만 양자컴퓨터 상용화 속도가 빠르게 진행될 수 있다는 기대에 상승. 물론 장 후반에는 매물 소화. 리게티컴퓨팅(-1.91%)은 재무적인 우려에 대한 루머로 하락 전환. 씰스큐(+22.55%)는 강세를 보이다 장 후반 나스닥 ‘글로벌 셀렉트 마켓’으로의 이전을 승인 받아 재무 건전성이 높다는 평가에 급등. 그외 BTQ테크(+3.41%), 아킷퀀텀(+9.43%)등 양자 암호 기업들은 양자시대가 빨라질 수 있다는 기대에 관련 수요 증가 기대하며 상승이 컸음
자동차: 테슬라, 미래 Vs. 현재
테슬라(-3.40%)는 전일 실적 발표 후 하락하기도 헀지만, 시장 일각에서 미래에 대한 기대를 반영하며 상승 전환에 성공. 그러나 오늘은 특별한 이슈가 없는 당장 미래보다는 4분기 실적에 대한 부담이 유입되며 하락하는 등 실적 발표 후 변동성 확대. 결국 테슬라는 현재 매출이 없는 미래에 대한 부분을 반영하는지, 당장 현재 실적을 반영하는지에 따라 주가의 변화가 진행되고 있는 것으로 추정. 포드(+12.16%)는 예상보다 강한 실적 결과를 발표하자 큰 폭으로 상승. GM(+4.20%)도 동반 상승. 퀀텀 스케이프(+14.73%)는 실적 발표 후 전고체 배터리에 대한 기대가 확대되며 급등 지속. 앨버말(+8.50%)등 리튬관련주는 중국 탄산리튬 가격 상승에 기대 강세 지속하는 등 2차전지, 리튬련주도 상승
전력망, 원자력 발전소: 에너지부 장관의 규제 완화 언급에 상승
컨스텔레이션 에너지(+6.39%), 비스트라(+5.28%), NRG에너지(+4.00%)등 전력망 관련 테마주들은 미 에너지부 장관이 데이터 센터의 전력망 연결 심사 기간을 60일로 제한하는 신속 심사 규정 도입을 제안하자 상승. 관련 조치로 데이터센터 확산에 따른 전력 수요가 급증할 수 있고 이에 따라 전력망 투자가 불가피하기 때문. 오클로(+9.10%), 뉴스케일 파워(+0.45%), 나노 뉴클리어(+4.35%)등 원자력 발전 기업들도 관련 소식에 상승. 신규 발전소에 대한 기대가 강화됐기 때문.
소프트웨어: 팔란티어, 파트너십 확대에 상승 지속
팔란티어(+2.30%)는 전일 루멘 테크(+3.85%)와 새로운 다년간 협력을 통해 2억 달러 규모의 파트너십을 확대했다는 소식에 상승한 데 이어 오늘도 강세를 이어감. 오라클(+1.16%)은 380억 달러 규모의 Debt Offering 발행을 통해 AI 인프라 자금 조달했다는 소식에 상승. 세일즈포스(-0.09%), 서비스나우(-0.96%)등 여타 소트프웨어 기업들은 매물 소화하며 하락
비트코인: 코인베이스, 투자의견 상향에 급등
비트코인은 소비자물가지수 발표로 연준의 금리인하 기대가 높아진 가운데 JP모건이 비트코인과 이더리움을 대출 담보로 허용할 계획이라는 보도로 상승. 더불어 스탠다드차타드가 홍콩에서 11월에 암호화폐 ETF 거래 서비스를 출시할 예정이라는 점 등이 유입되며 상승. 스트레티지(+1.46%), 라이엇 플랫폼(+4.54%)등이 이에 상승. 코인베이스(+9.82%)는 JP모건이 시장 수익률 상회로 투자의견을 상향 조정하자 급등한 가운데 써클 인터넷(+9.39%)도 급등. 로빈후드(+4.06%), 불리시(+0.65%)등도 상승
국내 주식 마감 시황 - 10월 27일
『KOSPI 4,000p, KOSDAQ 900p』
시황 강진혁 ☎️02-3772-2329
코스피 4,042.83 (+2.57%), 코스닥 902.70 (+2.22%)
대내외 훈풍 속 사상 최고가 랠리 지속
금일 KOSPI, KOSDAQ은 각각 2.6%, 2.2% 상승했습니다. 지난 금요일 미국 CPI(Headline +0.3% MoM, Core +0.2%) 발표 이후 기술주 중심 강세 연출됐고, 훈풍은 글로벌 증시로 확산됐습니다. 여기에 APEC 주간 진입으로 갈등 확산보다 합의 도달 기대감이 커진 점도 호재였습니다. 삼성전자(+3.2%) 10만원 돌파, KOSPI도 4,000선을 돌파했습니다. KOSPI의 YTD 수익률은 각각 68.5%에 달하고 4월 저점 대비로 76.2% 올랐습니다. Nikkei225도 50,000p 돌파했고, 상해종합지수도 4,000p 목전에 두고 있습니다. 대통령 인터뷰에서 생산적 자금공급에 대한 의지 재확인하며 증권주(한국금융지주 +2.6%, 키움증권 +8.3%) 다수 신고가 경신했습니다.
외국인 수급과 반도체 매수 여력
외국인은 삼성전자 Long-SK하이닉스 Short이었습니다. 외국인 지분율을 보면 삼성전자는 52%로 과거 10년 평균 53% 및 고점 58% 대비 낮습니다. 반면 SK하이닉스는 55%로 과거 10년 평균 50.7% 대비 높고 고점 56% 부근입니다. 그간 SK하이닉스로 매수 몰렸지만 삼성전자도 매수 여력이 남았다고 볼 수 있습니다.
#특징업종: 1)창투사: 정부 벤처기업 활성화 정책 및 퓨리오사AI 등 유니콘 기대(미래에셋벤처투자 +16.5%, DSC인베스트먼트 +12.2%) 2)남북경협: Trump “김정은과 만남 100% 열려 있다” 발언에 북미 정상회담 기대감(아난티 +6.3%) 3)대마: 국정감사서 의료용 대마 규제 완화 필요성 제기(우리바이오 +2.1%)
KOSDAQ의 캐치업
오늘 순환매 속 바이오텍(알테오젠 +8.4%, 삼천당제약 +13.5%), 2차전지(에코프로 +6.2%) 강세에 KOSDAQ도 작년 4월 이후 약 19개월 만에 900p 돌파 마감했습니다. 미국 금리 인하 기대감과 더불어 보로노이(+14.6%)의 VRN1 임상 1상 발표 소식이 바이오 종목 투심에 기여했습니다. 4월 에이비엘바이오(+11.3%) 이후 LO 뜸하며 바이오 소외됐지만 내년 모멘텀 회복을 기대할 만합니다.
#주요일정: 1)韓 11월 소비자심리지수(28일 06:00) 2)韓 3분기 GDP(28일 08:00) 3)APEC CEO SUMMIT(28~31일) 4)韓 삼성SDI·삼성바이오로직스·삼성물산·하나금융지주 등 실적 발표(28일)
※ 원문 확인: http://bbs2.shinhansec.com/board/message/file.pdf.do?attachmentId=340964
10월 27일 상승률 TOP20
- 관리종목 및 우선주 제외
1. 메타랩스(+29.98%): 헬스케어, 부동산 등 추진 사업 다각화에 따른 관련주 실적 개선기대감 속 주가 상한가
2. 삼익제약(+29.95%): 코스닥 신규 상장 첫 거래일 변동성 확대 속 관련주 주가 상한가
3. 한미약품(+26.25%): GLP-1 비만 신약 연내 허가 신청 소식 부각되며 관련주 행보기대감 속 주가 급등세
4. 후성(+19.24%): 美 업체 공급계약 소식 부각되며 관련주 향후 실적기대감 속 주가 급등세
5. TS인베스트먼트(+18.38%): 경주 APEC서 국산 AI 반도체 소개 소식 부각되며 수혜관련주 주가 급등세
6. 삼성중공업(+17.34%): 상업용 운반선에 '한국형 LNG 화물창' 첫 탑재 소식 부각되며 관련주 주가 급등세
7. 오름테라퓨틱(+17.21%): 플랫폼 기술 총괄로 도린 토오더 박사 영입 소식 부각되며 관련주 주가 급등세
8. 차바이오텍(+17.17%): 세포유전자 치료제와 헬스케어 융합 통한 신규 사업 행보기대감 속 관련주 주가 급등세
9. 대창솔루션(+17.04%): 원전 핵연로 해체 및 재처리 권한 확대 추진간 수혜관련주 부각되며 주가 급등세
10. HD현대(+17.02%): 美 해군 차세대 군수지원함 공동건조 소식 부각되며 관련주 실적기대감 속 주가 급등세
11. 미래에셋벤처투자(+16.47%): 투자기업 상장 임박에 따른 3배 이상 회수 전망 부각되며 관련주 주가 급등세
12. 씨피시스템(+16.45%): '로보웨이' 글로벌 완성차 라인 공급 확대에 따른 관련주 실적기대감 속 주가 급등세
13. 플래티어(+15.74%): 삼성SDS와 함께 삼성전자에 디지털 전환 솔루션 공급 부각되며 관련주 주가 급등세
14. 알파녹스(+15.34%): 임수주총 소집 및 이사 선입 소식 부각되며 관련주 행보기대감 속 주가 급등세
15. 그래피(+15.26%): 4분기 기점 실적 턴어라운드 전망 부각되며 관련주 주가 급등세
16. 유일에너테크(+15.22%): 전극조립 장비 국산화 추진간 관련주 기술경쟁력 부각되며 주가 급등세
17. 형지I&amp;C(+15.15%): 북미 정상회담 추진 기대감 지속되며 경협관련주 수혜기대감 속 주가 급등세
18. 한솔테크닉스(+14.89%): 3분기 호실적 발표에 따른 관련주 저평가 부각 주가 상승세
19. 디앤디파마텍(+14.79%): MASH 신약3 2상결과 美학회서 구두발표 소식에 관련주 행보기대감 속 주가 상승세
20. 보로노이(+14.57%): 美서 'VRN10' 임상 1상 발표 소식 부각되며 관련주 행보기대감 속 주가 상승세
(출처): https://eureka.hankyung.com/insight/detail/14733
[상승률]
[하락률]
[거래대금 상위]
&lt;퀀트 및 전략&gt;
10/27일 하나증권 전략 이재만
[화수분전략] 2026년 전망(2): 주도업종과 주도주는 누구일까
▶️자료: https://lrl.kr/dEE1X
*강세장의 특징 중 하나는 주도업종이 변하지 않는다는 점. 주도업종 변화는 예상치 못한 시스템 위기 발생, 지수 급락 이후 새로운 상승 사이클이 시작하는 과정에서 발생
*90년대 Tech 섹터 주도→Tech 버블 붕괴→00년대 투자 섹터 주도→글로벌 금융위기→10년대 소비재 섹터 주도→국제 유가 급락, 중국 경기 둔화, 연준 긴축→20년대 Tech 섹터 주도
*강세장을 만든 주도업종은 그 시대의 이익 증가 견인. ①주도주의 탄생은 높은 투자 증가율을 기반으로 매출이 성장할 때, ②성장은 영업이익률 상승 및 사상 최고치를 경신할 때, ③소멸은 영업이익률이 하락 전환할 때
*26년 S&amp;P500지수 내 비중 확대 업종으로는 반도체, 소프트웨어, 미디어, 기술/하드웨어, 다각화금융, 제약/바이오
*코스피는 위의 S&amp;P500지수 내 비중 확대 업종과의 매출, 영업이익률 연관성이 높고, 코스피 내 순이익 비중과 시총 비중 변화를 적용 시 반도체, 조선, 기계, 2차전지, 에너지, 건강관리, 방산, IT하드웨어 비중 확대 업종
*코스피 리레이팅에 대한 기대 유효. 미국 증시는 시총 1등 기업이 바뀌면서 지수 리레이팅. 90년대 시총 1위 GE에서 마이크로소프트, 00년대 마이크로소프트에서 엑슨모빌, 10년대 엑슨모빌에서 애플, 25년 애플에서 엔비디아로 변함
*이익 규모가 큰(기대가 있는) 기업이 시총 1위가 될 수 있다는 기대 있을 때 지수 리레이팅. 현재 SK하이닉스의 시총 삼성전자 대비 54%. 이전 POSCO의 삼성전자 대비 시총 비율 고점 62%, 현대차와 기아(합산) 비율 고점 64%
*26년 주도주 컨셉 첫번째, 풍부한 현금을 통해 투자 할 수 있고, 투자로 매출이 증가하고 투자 수익성이 높은 기업: S&amp;P500 내 마이크로소프트, AMD, 캐터필라, GE버노바, 뉴몬트, 인튜이티브서지컬, 테슬라 등. 코스피 내 삼성전자, 한화에어로스페이스, 셀트리온, 삼성에스디에스, 두산밥켓, LG이노텍 등
*두번째, 높은 가격전가력을 기반으로 영업이익률 사상 최고치 경신 지속, 영업이익률 상승 시 이익 증가 폭이 큰 기업: S&amp;P500 내 엔비디아, 알파벳, 애브비, GE, 필립모리스, RTX, 우버. 코스피 내 SK하이닉스, HD현대중공업, 한화오션, 현대로템, HD현대일렉트릭, 한국항공우주 등
(컴플라이언스 승인 득함)
[교보증권 자산배분 김준우]
*M&amp;M#04: 코스피, 거의 다 왔다
지난 9/26일 이후 시작된 상승 파동은 5파동 내 3번째 파동이 맞았음. 외국인 수급은 지속되었고, 10/1~10/24까지 액티브 자금은 +5조 3,303억원, 패시브 자금은 약 +1,720억원 누적순매수를 기록(총 +5조 5,023억원). 9월 수급 대비 절대적인 수준은 감소했으나, 추석 연휴 기간을 생각하면 비슷한 수준으로 생각. 그러나, 외국인 수급은 9월보다 코스피에 집중된 모습을 보임. 업종 별로 보면, 외국인+기관 누적순매수 TOP1 업종은 지난 달과 마찬가지로 반도체 업종이 차지함. 동 기간 반도체 업종은 외국인 +3조 2,912억원, 기관 +2조 3,464억원 누적순매수를 기록(총 +5조 6,375억원)하며 가장 많은 자금이 유입됨.
미국 금리인하 사이클 재개로 인한 유동성 확대는 지속. 전월 말 대비 글로벌 유동성은 +0.5% 증가했고, 잠재적 수급 여력을 의미하는 MMF 또한 +1.5% 확대됨. 현재 미국 경기국면은 Goldilocks 국면에 위치하고 있으며, 11월도 동일한 국면에 위치할 것으로 나타남. 그러나, 현재 z-score 값이 (-1,1) interval 사이에 존재하는 만큼, 필자는 현재 국면을 불안정한 Goldilocks 국면으로 판단.
반도체 영업이익 컨센서스는 또 다시 큰 폭 상향됨. 그러나, 이러한 상승 폭은 너무 과한 수준으로 생각. 기존에 필자는 코로나 이후 유동성 장세와 현재 주가 흐름이 매우 유사한 것으로 판단했음. 그러나, 현재 흐름은 당시 대비 약 1.5달 빠르게 움직이는 모습. 코스피가 2021/2/17일 고점(3,133.73pt)에 도달했던 것을 고려하면, 이번 코스피 랠리 고점은 연말~연초 부근으로 생각되며, 현재 주가 흐름 및 레벨에 대한 경계가 필요할 것으로 판단. 1)2020년 대비 너무 약한 국면 전환 강도, 2)시가총액 규모별 차별화, 3)금리인하 폭, 4)유동성 강도 등이 상이하기 때문.
10/24일 기준, 코스피 12MF PER은 11.7배를 기록하며 역사적 상단 저항선 부근에 근접. 또한, 밸류에이션 차트 상에서도 코스피는 역사적인 보수적 저항선(1차)을 상방 돌파. 숨 고르기 국면 이후 2차 저항선에 도달할 것으로 생각되나, 앞서 언급했던 4개 요인으로 2차 저항선 수준 4,150pt를 돌파하기는 어려울 것으로 판단. 11월은 기간 조정 혹은 가격 조정을 예상. 이는 해당 과정이 현재 3번째 파동이 마무리된 이후 나타날 수 있는 4번째 파동의 형태이기 때문. 즉, 11월은 순환매(+변동성) 장세 흐름 예상 (11월 코스피 상단 4,050pt, 하단 3,750pt 전망).
보고서 링크 : https://www.iprovest.com/upload/research/report/invtstg/20251027/20251027_B_20250038_11.pdf
--&gt; 아직도 증권사 리포트에 엘리어트 파동을 언급하는 사람이 있어서 신기해서 남긴다.
[DS 경제 김준영] 준클리 10/27(월)
매크로 관점에서 바라본 한국 시장
■ 한국의 재정 확대
- 한국 정부는 GDP 대비 재정적자 비율을 4% 수준으로 확대
- 재정 확대는 경기 하방을 방어 + 중장기적으로 재정건전성 우려를 키움
- 국가별 성장력의 차이가 향후 자산 가격 차별화의 중요한 배경이 될 전망
- 한국은 선진국보다 채권 약세 압력 확대 환경에 노출될 가능성
■ 증시 호조 뒤에 가려진 불안 부분
- 최근 한국 시장에서 채권과 환율의 동반 약세
- 전형적으로 신흥국형 취약성이 부분적으로 반영되는 전개
- 부채 부담 확대에 따른 재정 프리미엄과 구조적 저성장이 반영되는 결과
■ 매크로로 설명하는 코스피 상승
- 최근 한국 증시 상승세에는 실적 개선과 통화 가치 절하에 따른 헷지 수요
- 반도체 사이클 회복 + 실적 개선 + 통화 약세는 자산시장 상승의 핵심 요인
- 일본도 통화 약세가 실적 기대감으로 이어지면서 증시 동시에 상승하기도 했음
- 물가와 환율을 반영하여 증시 상승 여력을 살펴볼 필요
- 환율만 감안하면 21년 고점까지 6.4%(4,193pt)
- 물가와 환율을 감안하면 21년 고점까지 22.6%(4,810pt)
■ 증시 추가 상승 여력 적지 않음
- 높지 않은 절대적인 경제 성장률, 그러나 사이클 바닥은 지났음
- 코로나 랠리보다 낮은 멀티플
- 멀티플 여유가 있으며 반도체 사이클 지속에 따라 실적 전망치 현실화 시 지수 하방은 막혀있을 것
- 추가적으로, 주주 환원으로 균형 PBR 레벨이 높아질 것으로 전망
美 S&amp;P500 15% 오를때 韓 코스피 64% 급등
(정윤희 기자)
日 닛케이 24%·獨 DAX 22%·홍콩 30%↑
美 상승률, 세계 증시 뒤져…16년만 최대차
사상 최초로 4000선을 돌파하며 승승장구 중인 코스피가 연일 사상 최고치를 갈아치우는 미국 주식 시장 상승률도 크게 웃돈 것으로 나타났다.
27일 금융투자업계와 월스트리트저널(WSJ) 등에 따르면, 올해 들어 MSCI ACWI(All Country World ex USA) 지수 중 한국 코스피가 64%로 압도적으로 높은 상승세를 기록했다. MSCI ACWI 지수는 미국을 제외한 22개 선진국과 24개 신흥국의 대형주와 중형주 약 2300개 종목으로 구성된지수다. 올해 MSCI ACWI 지수는 달러화 기준으로 26% 올랐다. 반면, 미국 주식 시장 상승세는 세계 주식시장 상승세에 크게 뒤졌다. 미국 스탠더드앤드푸어스(S&amp;P) 500 지수 상승률은 15%에 머물렀다.
이는 독일 DAX 지수(22%), 일본 닛케이225 평균주가(24%), 영국 FTSE 100(18%), 중국 홍콩 항셍지수(30%) 등에 못 미치는 수치다.
WSJ은 지금 수준의 격차가 연말까지 지속된다면 S&amp;P 500 지수가 2009년 이후 16년 만에 가장 큰 격차로 세계 증시에 뒤지게 된다고 설명했다. 그러면서 이러한 흐름은 ‘미국 예외주의’로 미국 증시가 상대적으로 강했던 지난 10년 동안의 흐름과 뚜렷하게 대비된다고 지적했다.
지난 10년간 S&amp;P 500 지수는 225% 상승했다. 이에 비해 닛케이225 지수는 158%, FTSE 100 지수는 49% 상승하는 데 그쳤다.
올해 세계 증시의 호조에는 달러화 약세가 큰 요인으로 작용하고 있다는 분석이 나온다. 올해 WSJ 달러화 지수가 6.3% 하락했는데, 이는 도널드 트럼프 미국 행정부의 관세 정책, 미 중앙은행인 연방준비제도(Fed)의 독립성 문제, 미국 정부 부채 증가에 대한 우려가 부담으로 작용했기 때문이다.
달러 약세는 해외에서 발생한 이익이 더 많은 달러로 환산되기 때문에 글로벌 기업들에 유리하게 작용할 수 있다.
탄탄한 미국 경제와 인공지능(AI) 붐에 대한 투자자들의 열기가 지난해 S&amp;P 500 지수 상승률을 글로벌 경쟁 지수보다 높게 끌어올렸지만, 동시에 소수의 대형 기술주가 주도하는 미 증시의 상승세를 두고 고평가 논란도 상존하고 있다는 지적이다.
팩트셋에 따르면 S&amp;P 500 지수 편입 기업들의 12개월 예상 주가수익비율(PER)은 현재 23배로 역사적 고점 부근에 있다.
[New K-ETF] K-조선 TOP10, 만기매칭 금융채 액티브
▶️ 하나 Global ETF 박승진(T.3771-7761)
▶️ 자료: https://buly.kr/CWv0ao8
▶️ 텔레그램: https://t.me/globaletfi
▣ 신규 상장 ETF(10/28): KODEX K조선 TOP10, KODEX 26-12 금융채(AA-이상) 액티브
◎ KODEX K조선 TOP10 ETF
- 국내 대표 조선기업 10개 종목으로 포트폴리오를 구성하는 패시브 ETF. MASGA로 지칭되는 미국 조선업 재건, 해군력 강화 프로젝트의 진행 과정에서 수혜가 기대되는 10개의 주요 조선 기업들을 선별하여 집중 투자하는 종목. 조선업의 장기 호황 전망을 고려한 ETF
- MASGA의 키워드를 활용한 스코어링 방식을 통해 편입 종목들을 선정. 테마 키워드 3개(MASGA, Shipbuilding, Marine Engine)를 활용하여 편입 대상 종목들 간의 상대평가를 통해 키워드 내 유사도 순위를 부여하고, ‘MASGA’ 키워드의 유사도 순위가 4위 이내인 종목을 ‘TOP 4’의 포지션으로 편입. 나머지 편입 대상 종목군에서 시가총액이 가장 큰 6개 종목들을 추가로 편입하여 최종 포트폴리오를 구성
- ‘TOP 4’에 해당하는 종목들은 시가총액 가중방식의 기준으로 편입 비중을 결정하며, 개별 종목의 최대 비중은 22%, 4개 종목의 최대 합산 비중은 85%로 설정. 상장일(10/28)을 기준으로 한화오션과 HD한국조선해양, HD현대중공업, 삼성중공업이 ‘TOP 4’의 포지션에 자리. 이와 더불어 한화엔진, HJ중공업, HD현대마린엔진, STX엔진, 한국카본, HD현대마린솔루션이 나머지 포트폴리오 구성 종목으로 편입. 수주 모멘텀이 기대되는 대표 조선기업들과 고마진 핵심 부품인 선박 엔진 생산기업들로 구성된 포트폴리오
◎ KODEX 26-12 금융채(AA-이상) 액티브 ETF
- 신용등급 AA- 이상의 금융채들을 포트폴리오에 편입하는 만기매칭형 금융채 ETF. 약 1년 1개월 만기의 채권형 종목으로, 2026년 12월이 되면 상장 폐지와 함께 자금을 돌려받는 형태. 비교지수는 2026년 11월에서 12월 사이에 만기가 도래하는 AA- 등급 이상의 금융채들로 구성
[10/27 (월), 미래에셋증권 퀀트 Daily] 시장/업종 쏠림 지표 모니터링
(시장 쏠림 지표, 10/24 기준)
KOSPI: 1.44 (1주일 전 1.28, 1개월 전 0.32)
KOSDAQ: 1.17 (1주일 전 0.99, 1개월 전 0.37)
(쏠림 지표 ↑) 반도체, IT가전(2차전지), 화학, IT하드웨어, 조선, 디스플레이, 기계
(쏠림 지표 상승폭 ↑) IT가전(2차전지), 화학, 반도체, IT하드웨어, 자동차, 유틸리티, 건설/건축, 비철금속, 조선, 철강, 증권, 보험, 기계
자세한 데이터는 아래 링크를 참고해 주시길 바랍니다.
▶️퀀트 Daily (2025/10/27, 월요일)
https://han.gl/lS5DY
https://n.news.naver.com/article/009/0005580009
전세계 자금 한국 몰린다…외국인 ‘Buy 코리아’ 한국투자 ETF에만 1조
외국인투자자 속속 韓증시로 코스피 올해초 대비 68% 폭등 원화값 낮아지며 싹쓸이 나서 올들어 韓증시서 6조원 순매수 美 상장 EWY엔 7억달러 유입 글로벌 동반상승 영향 日증시도 닛케이지수 사상 첫 5만선 돌파 코
n.news.naver.com
🎯 기금 소진 미뤄진 국민연금…국내주식 비중 확대 시사
✅ 국감서 김태현 이사장 “국내 주식 비중 재검토 시점” 언급
👉 김태현 국민연금공단 이사장은 국정감사에서 국내 주식 투자 비중 확대 가능성을 시사
👉 보험료율 인상으로 기금 소진 시점이 늦춰져 자산운용 전략 재점검 필요성 강조
👉 “비중은 줄더라도 투자 규모는 늘어날 수 있다”며 유연한 자산 배분 필요성 제기
✅ 보험료율 인상으로 국민연금 재정 여력 확대
👉 국민연금 보험료율 9%→13%, 소득대체율 40%→43%로 상향 결정
👉 이에 따라 기금 고갈 시점이 미뤄져 중장기 운용전략 재수립 필요성 부각
👉 김 이사장은 내년 기금운용위원회에서 국내 주식 비중 재검토를 공식화할 계획 언급
✅ 국내 자본시장에 미칠 파급효과 주목
👉 국민연금의 국내 주식 비중 확대 시사 발언은 증시 유동성 개선 기대 요인으로 작용
👉 장기투자 중심의 국민연금 매입세 강화 가능성이 기업 가치평가에 긍정적 영향 전망
👉 다만 정치·정책적 논의에 따라 실제 비중 확대 여부는 내년 운용위 결정에 달릴 전망
https://www.hankyung.com/article/2025102409871
[Web발신]
안녕하십니까
유진투자증권 허재환입니다.
=버블토크=
* 강세론자들은 버블 경고가 많을수록, 주가가 더 간다고 주장합니다. 그럴 듯 하지만, 반드시 그렇지도 않습니다.
* 99~2000년 많은 언론에서 당시 인터넷 주가 급등을 튤립 버블과 사우스시 버블과 비교했습니다.
* 버블 논란은 95~96년 이후 꾸준히 늘었습니다. 버블이 붕괴되기 시작한 2000년, 그리고 그 이후인 2021년까지 더 이어졌습니다.
* 즉, 논란이 이어지는 동안 주가가 급등한 것은 사실이지만, 그렇다고 버블 경고가 사라지고 모두가 버블이 아니라고 해서 주가가 급락한 것도 아니었습니다.
* 많은 버블 경고에도 90년대 후반 주가가 꽤 오래 상승할 수 있었던 배경이 있습니다.
* 1) 당시만 해도 공매도가 활발하지 않았습니다. 공교롭게도 지금 AI 버블 논란의 한 가운데 있는 OpenAI는 상장 전입니다. 공매도가 안됩니다.
* 2) 주가 차별화로 전문 운용역들의 성과 압박이 컸습니다. 벤치마크 대비 성과로 평가받는 운용역들은 주가가 비싸다고 시장에 역행하는 투자를 오래 하기 어렵습니다.
* 즉, 경기 자체에 빨간 불이 들어와 금융시장으로 자금 유입이 끊기지 않는 한, 주가 상승은 랠리 후반부에 더 강했던 것입니다.
* 3) FOMO 때문입니다. 시장 참여자들이 미래 전망을 보고 투자한 것이 아니라, 주변 사람들이 부유해지는 것을 보고 따라 샀습니다.
* 전설적인 금융역사가 찰스 킨들버그는 인간에게 친구가 부자가 되는 것을 보는 것만큼 평정심과 판단력을 흔드는 일은 없다고 했습니다.
* S&amp;P500 7천, 코스피 4천 시대가 다가왔습니다. 아직은 될 만한 주가만 오르고 있습니다.
* 주식으로 돈 벌어서 차를 바꾸거나, 집을 산 친구들도 그다지 많이는 없습니다. 버블 논란은 이른 것 같습니다.
활기찬 한주 되십시오
ttps://t.me/huhjae
다음주 일정- 격동의 한주
27일: Cadence, Celestica, NXP, Rambus, Amkor 실적 (장후)
27~29일: 엔비디아 GTC
28~29일: FOMC
28일: 엔비디아 CEO 젠슨황 GTC 기조연설, Sofi, 페이팔, Corning 실적(장전), Visa, 블룸에너지, Seagate , 테라다인 실적(장후)
29일: 한미정상회담, 연준 금리결정, Sk하이닉스 실적,
캐터필러, 보잉 실적(장전), 마이크로소프트, 메타, 알파벳, 서비스나우, 트랜스메딕스, 스타벅스, Mercardolibre 실적(장후)
30일: 미중 정상회담, 일본은행 금리결정, ECB 금리결정, 미국 3분기 GDP, 삼성전자 실적, 일라이 릴리, Roblox, 머크, 마스터카드, 크록스, 에스티로더 실적(장전), 애플, 아마존, 코인베이스, 레딧, 로쿠, 퍼스트솔라 실적(장후)
31일: 엑슨모빌, Dominion Energy, abbvie 실적(장전)
31일~1일: 경주 APEC 정상회의
[WSJ] Is the Flurry of Circular AI Deals a Win-Win—or Sign of a Bubble? (2025.10.22일)
(1)
- ‘순환적 거래(circularity)’가 AI 업계에서 새로운 유행어가 되고 있음. 일부 투자자들은 현재의 초대형 거래들을 1990년대 말 닷컴 버블 시기의 과열 양상과 비교하고 있음.
- 현재는 거래 규모가 훨씬 크고, 구조가 복잡하며, 자금 흐름도 훨씬 추적하기 어려움. 그러나 일부 유사점은 분명 존재. 특히 위험 요인 중 하나는 데이터센터 투자 열기가 식을 경우, 엔비디아와 마이크로소프트 같은 기업들이 두 차례 타격을 받을 수 있다는 점. 즉, 고객사로부터의 매출이 줄어드는 동시에 이들 고객사에 대한 지분투자 가치도 하락할 수 있음
- 일반적으로 ‘순환적 금융(circular financing)’ 구조는 다음과 같음. 한 회사가 다른 회사에 자금을 제공하고, 그 회사는 그 자금을 이용해 다시 첫 번째 회사의 제품이나 서비스를 구매. 초기 자금 제공이 없었다면 두 번째 회사는 그 구매를 실행하지 못했을 가능성이 큼. 이러한 자금 흐름은 투자, 대출, 리스 등 다양한 형태를 취할 수 있음
- 1990년대 후반과 2000년대 초반에는 이런 상호 의존적 고리가 주로 통신장비 제조업체들이 고객사에 돈을 빌려주거나 신용을 제공해 자사 장비를 구매하도록 유도하는 방식으로 이루어졌음. 당시에는 이를 ‘벤더 파이낸싱(vendor financing)’이라고 불렀음
- 벤더 파이낸싱의 대표적인 실패 사례는 루슨트 테크놀로지스(Lucent Technologies)가 꼽힘. 루슨트는 통신 인프라와 네트워크를 구축하던 신생 통신사들에 수십억 달러를 대출. 호황기에는 이들 고객의 구매 덕분에 루슨트의 매출이 급격히 증가했음. 그러나 고객사들이 자금난으로 파산하고 추가 자본을 조달하지 못하자, 루슨트는 부실채권을 대거 상각해야 했으며 막대한 손실을 기록
- 루슨트의 주요 부실 고객 중에는 통신 신생기업 윈스타 커뮤니케이션즈 등 상장사들도 포함되어 있었음. 아이러니하게도 투자자들은 루슨트의 위험한 벤더 파이낸싱 구조를 루슨트 자체 공시보다 윈스타의 공시자료를 통해 더 잘 파악할 수 있었음
- 벤더 파이낸싱은 여전히 존재하지만, 최근 주목받는 AI 관련 순환적 거래(circular deals) 대부분은 그와 같은 구조를 따르지 않음
- 대표적인 예는 9월에 발표된 엔비디아와 오픈AI의 전략적 파트너십이 있음. 두 회사는 엔비디아가 최대 1,000억 달러를 오픈AI에 투자하고, 오픈AI는 수백만 개의 엔비디아 특수 칩을 구매할 계획이라고 밝혔음. 이 거래는 특정 구매를 위한 대출이 포함되지 않아 전통적인 벤더 파이낸싱은 아니지만, 구조적으로는 순환적 관계를 띔
- 오픈AI는 비상장 기업으로 재무제표를 공개하지 않지만, 최근 자금 조달 거래에서 5,000억 달러의 기업가치를 인정받았음에도 여전히 적자를 기록하고 있는 것으로 알려짐.
- 엔비디아의 투자는 오픈AI의 인프라 확충 자금으로 사용될 예정이며, 오픈AI가 엔비디아의 칩을 구매함으로써 엔비디아는 매출을 되돌려받는 구조
- 낙관적인 투자자들에게는 ‘윈-윈(win-win)’ 거래로 보일 수 있지만, 회의론자들에게는 AI 생태계가 서로를 보조하지 않으면 확장할 수 없는 버블 상태라는 의심을 강화시키는 사례로 비춰짐. 구체적인 거래 조건은 공개되지 않았으며, 양사는 협상이 아직 마무리되지 않았다고 밝힘. 벤더 파이낸싱에서의 위험은 ‘대금을 받지 못하는 것’이지만, 엔비디아의 경우 투자금 가치가 하락할 위험이 있는 대신 수익 상승 가능성도 존재함
- 이 사례는 비교적 단순한 편임. 모건스탠리는 10월 8일 보고서에서 오픈AI, 엔비디아, 마이크로소프트, 오라클, AMD, 코어위브 등 6개 기업 간 자금 흐름을 지도 형태로 분석했는데, 서로 얽힌 화살표들이 마치 스파게티 한 접시처럼 복잡하게 연결된 것으로 나타났음.
(2)
- 오픈AI는 최근 오라클로부터 향후 약 5년간 3,000억 달러 규모의 컴퓨팅 파워를 구매하기로 합의. 그러나 오픈AI가 이 자금을 어떻게 조달할지는 불투명하며, 엔비디아의 1,000억 달러 투자가 성사되지 않으면 오라클 계약 이행도 어려워질 가능성 있음. 이는 다시 오라클이 엔비디아 칩을 구매할 여력이 줄어드는 결과로 이어질 수 있음
- 엔비디아의 경쟁사 AMD는 오픈AI를 고객으로 확보하기 위해, 오픈AI가 주당 1센트로 AMD 주식의 최대 10%를 매입할 수 있는 워런트를 발행. AMD는 향후 수백억 달러의 매출을 기대한다고 밝혔지만, 실질적으로는 오픈AI를 고객으로 만들기 위해 비용을 지불한 셈
- AI 클라우드 인프라 기업 코어위브는 이러한 산업 간 복잡한 얽힘을 잘 보여줌. 엔비디아는 코어위브의 지분 약 5%을 보유하고 있으며, 동시에 칩을 판매. 또한 2032년까지 코어위브의 미판매 클라우드 컴퓨팅 용량을 엔비디아가 매입하기로 약속해, 사실상 고객사의 사업을 보증(backstop)하는 구조
- 한편, 코어위브의 최대 고객은 마이크로소프트임. 마이크로소프트는 오픈AI 투자자이자 오픈AI와 수익을 공유하고 있으며, 엔비디아로부터 칩을 구매하고, AMD와도 파트너십을 맺고 있음. 오픈AI 역시 코어위브의 고객이자 주주로, 상장 이전에 3억5,000만 달러 규모의 지분 투자를 단행했음
- AI 업계의 복잡한 관계망을 모두 추적하기는 매우 어려움. 코어위브는 일부 벤더 파이낸싱 부채를 보유하고 있다고 밝혔지만, 거래 상대방의 신원은 공개하지 않았음
- 이러한 구조가 반드시 문제가 있는 것은 아님. 인공지능(AI)은 산업을 근본적으로 변화시키는 기술이며, 오픈AI는 그 중심에 있는 강력한 기업. 업계 전반은 필요한 인프라를 가능한 한 빠르게 구축하기 위한 경쟁을 벌이고 있음
- 이들의 노력이 결실을 맺는다면, 오픈AI와 경쟁사들은 막대한 현금흐름을 창출하여 지금의 대규모 자본지출을 정당화할 수 있을 것임. 그러나 투자자들이 향후 수익에 대한 명확한 가시성 없이 기업들이 AI 모델과 제품 개발에 막대한 자본을 계속 투입하는 데 피로감을 느끼는 시점이 올 수도 있음
- 그때가 바로 AI 생태계가 성장의 벽에 부딪히는 시점이 될 수 있으며, 이는 초기 인터넷 버블과 당시의 순환적 거래(circular deals) 구조가 가진 유사점을 떠올리게 함. 순환 구조는 상승기에는 선순환을 만들지만, 하락기에는 악순환으로 변할 수 있음
https://www.wsj.com/tech/ai/is-the-flurry-of-circular-ai-deals-a-win-winor-sign-of-a-bubble-8a2d70c5?mod=hp_lead_pos7
&lt;산업 및 기업&gt;
[하나증권 AI/인터넷/게임 이준호, 3771-8049]
게임 Overweight
: 실적 시즌 전 주요 사항, 내년을 준비할 때
리포트: https://bit.ly/4oAKt8v
■크래프톤, 네오위즈 Top Pick 유지
- 게임 산업은 지수 상승 랠리에서 소외. 1) 타 산업 대비 업황 개선이 뚜렷하지 않고 2) 경쟁 심화에 따라 기업별 편차가 확대되고 있으며 3) 흥행 산업의 특성상 내년 실적에 대한 가시성도 높지 않기 때문이라 해석
- 통상적으로 11월은 내년 라인업에 대한 정보를 확인할 수 있는 시기. 3분기 실적 발표, 지스타에서 각 게임사들의 신작 라인업 및 전략 공개 기대
- 게임 섹터에 대한 투자 의견은 기존과 같음. 대형주 Top Pick: 크래프톤, 중소형주 Top Pick: 네오위즈 유지
- 커버리지 내 3분기 실적은 다소 밋밋. 컨센서스 상회를 기대할 수 있는 종목은 네오위즈이며 전 분기 대비 이익 성장이 예상되는 종목은 크래프톤
- 네오위즈는 매 분기 추정치가 상향되는 이상적인 흐름을 보이고 있어 긍정적. 3분기 영업이익은 201억원(+211.4%YoY, +8.3%QoQ)으로 추정. [브라운더스트2]의 2주년 업데이트 이연 매출 반영, 흥행 지속과 인디게임 신작 [셰이프 오브 드림즈]가 50만장 이상 판매된 영향
- 2026년 DLC 등 대형 신작은 부재하나 [킹덤2], [안녕 서울: 이태원편], [킬 더섀도우] 출시 예정이고 [P의 거짓] 지속적인 판매, [브라운더스트2] 성장 가능성 높음. 이익 안정성을 갖춘 상태에서 [P의 거짓] 후속작 포함 PC/콘솔 라인업 5종 공개를 기다릴 수 있어 편안한 구간이라 판단
- 크래프톤의 3분기 영업이익은 3,559억원(+9.7%YoY, +44.6%QoQ)으로 추정. 3분기 PC 콜라보 3종의 효과, 모바일 트래픽 상승에 동반한 매출 증가를 반영. 최근 EA의 [배틀필드6]가 역대급 흥행을 거두며 PC에서 경쟁 심화에 대한 우려가 대두되고 있으나 주요 지역은 북미이고 장르의 차이가 있기에 영향은 제한적이라 판단
- 지난 2년간 평균 접속자 수가 +70% 이상 증가한 만큼 숨고르기 구간으로 해석하며 2026년 PAYDAY 모드, UGC 베타 출시로 재차 성장 기대 가능. [화평정영]을 포함한 모바일 트래픽은 텐센트의 실적발표를 통해 반등 확인되고 있음
- 이번 지스타에서는 [팰월드 모바일]을 최초 공개 예정. 2024년 1월 출시된 포켓페어의 [팰월드]가 누적 플레이어 3,200만명을 돌파한만큼 모바일 역시 글로벌에서 유의미한 성과 전망
■엔씨소프트/넷마블: MMORPG 시장 주도
- 엔씨소프트는 3분기 영업적자 -211억원으로 컨센서스 하회 예상. 조직 효율화로 인한일회성 퇴직금 반영 영향. 결국 중요한 건 11월 19일 출시하는 [아이온2]. 10월 30일 지포스 게이머 페스티벌, 11월 13일 지스타에서 시연 예정. 목표 주가 260,000원까지 상승 여력 충분
- 레거시 IP의 매출 하향 안정화되고 있으나 국내 MMORPG 대표작인 [리니지M]은 하방 지지. 리니지라이크 게임의 범람 속에서 [아이온2]가 비교적 저렴한 BM으로 흥행에 성공한다면 다시금 트렌드가 바뀔 수 있기에 주목할 필요가 있음
- 넷마블은 3분기 영업이익 795억원(+21.4%YoY, -21.4%QoQ)로 컨센서스 부합 예상. 8월 출시한 [뱀피르]의 흥행, [세븐나이츠 리버스]의 글로벌 확장 영향. 올해 [RF온라인 넥스트], [세븐나이츠 리버스], [뱀피르]로 안정적 이익 창출에 성공
- 넷마블은 내년 1분기 출시 예상되는 [쏠: 인첸트]까지 포함하면 2년 내에 5종의 MMORPG 라인업을 갖추게 됨. MMORPG의 높은 수익성 기반 위에 2026년 1월 28일 출시하는 [일곱 개의 대죄: 오리진]의 성과로 매출의 장르/지역 다각화 기대
■더블유게임즈: 추가 M&amp;A 기대. 시프트업: 후속작 정보 공개 기대
- 더블유게임즈는 3분기 영업이익 567억원(-4.6%YoY, +4.4%QoQ)으로 컨센서스 부합 예상. 2분기 팍시 게임즈를 인수했으며 3분기부터는 와우 게임즈도 연결 반영. 올해 2건의 M&amp;A를 진행했고, 슈퍼네이션의 성장 확인되고 있어 긍정적
- 기존 달러-원 환율 하락을 예상했으나 3분기 기점으로 강달러 국면 지속되고 있어 높은 환율 기저로 인한 부담은 제한적. 추가 M&amp;A를 위한 현금 여력은 충분하기에 소셜카지노, 아이게이밍, 캐주얼 중심 M&amp;A를 통한 지속적인 외형 확장 기대. 팍시게임즈의 머지2 신작, 자체 캐주얼 라인업의 성과 확인 시 추정치 상향 가능
- 시프트업은 3분기 [승리의 여신: 니케] 글로벌이 신규 캐릭터 출시로 반등에 성공했으나 중국이 기대 대비 부진했던 것으로 파악. [스텔라 블레이드]는 안정적인 판매량 지속. 다만 기존 추정처럼 2026년 영업이익의 감소는 불가피
- 결국 현시점에서 필요한 것은 1) [승리의 여신: 니케]의 안정적인 성과 확인, 2) 2027년 이후 [스텔라 블레이드2], [프로젝트 스피릿]에 대한 정보. 연내 [프로젝트 스피릿]의 추가 정보 공개 예정되어 있고 [스텔라 블레이드2]는 내년 중순 공개 기대
채널링크: https://t.me/internetgameLJH
[하나증권 IT 김민경]
티에프이 (425420.KQ/매수): 26년 실리콘 포토닉스 수혜 본격화 기대
자료: https://cutt.ly/Hr4VKzpz
■ 3Q25 Preview: 실적 상승세 지속
25년 3분기 매출 274억원(YoY +59%, QoQ +9%), 영업이익 45억원(YoY +1092%, QoQ +6%, OPM 17%)을 기록할 전망
주요 고객사의 메모리 소켓 물량 호조가 지속되고 있으며 다수 고객사의 R&amp;D 수요가 지속 증가하고 있는 것으로 파악. 다만 일부 매출이 4분기로 이연되었으며 원활한 R&amp;D 대응을 위한 인력 확보 및 인프라 구축을 위한 비용 증가로 기존 추정치 대비 매출액과 영업이익은 소폭 하향 조정
전방 수요 개선으로 메모리 소켓 물량 증가 추세는 26년까지 지속될 것으로 예상되며 주요 파운드리 고객사향 R&amp;D 물량 확대 또한 중장기 실적에 긍정적으로 작용할 전망
■ 26년 실리콘 포토닉스 개화 수혜 전망
26년 매출 1,468억원(YoY +38%), 영업이익 293억원(YoY +72%, OPM 20%)을 기록할 전망
메모리 업황 회복에 따른 테스트 소켓 수요 증가세가 지속되는 가운데 SOCAMM, HBF 등 신규 메모리 아키텍처 및 북미 고객사향 CPO 및 ASIC 테스트 소켓 실적 기여 또한 본격화될 것으로 예상. 이는 기존 메모리 중심의 매출 구조에서 AI 가속기·네트워킹용 소켓 비중 확대에 따른 마진 개선으로 이어질 것으로 기대
특히 AI 데이터센터 내 인터커넥트 병목 문제를 해결하기 위한 실리콘 포토닉스 기반 CPO 기술 도입이 가속화되며 직접적인 수혜가 기대. CPO 구조에서는 전기·광학 신호를 동시에 검증해야 하기 때문에 테스트 소켓에 열 관리, 광 정렬 기능, 초고주파 대응 능력이 요구될 것으로 추정. 티에프이는 현재 북미 고객사향으로 CPO 관련 소켓 샘플을 공급하고 있어 관련 레퍼런스를 보유하고 있다는 점에서 시장 확대 국면에서 ASP 상승 및 신규 고객사 확보 가능성을 기대할 수 있음
아울러 신공장은 2026년 상반기 중 본격적인 가동이 시작되며 외형 성장 및 수익성 개선이 가속화 될 전망
■ 목표주가 6.1만원으로 상향
투자의견 BUY를 유지하고 목표주가를 61,000원으로 상향. 목표주가는 26년 예상 EPS에 PER 27.2배를 적용해 산출. Target PER은 영업이익률 차이를 감안해 리노공업, ISC, Winway의 평균에 10% 할인을 적용
주요 투자포인트는 [1]북미 고객사향 데이터센터용 대면적 소켓 공급 증가, [2]CPO 반도체향 소켓 공급 본격화로 모멘텀 확보, [3]26년 상반기 신공장 가동에 따른 중장기 성장 가시성이 확보되었다는 점
티에프이는 테스트 소켓 외에도 COK, 테스트 보드 등의 아이템을 통해 추가적인 신규 고객사 확보를 진행하고 있어 추가적인 실적 상향 여력도 존재한다는 판단
[식약처, 인체조직은행 허가·수입 규정 개정 시행]
https://www.healthmedia.co.kr/news/articleView.html?idxno=103627
주요 개정 내용은 ▲인체조직은행 허가 갱신 시 제출하는 '수출국 제조원 발행 서류’의 근거 조항을 본문으로 이동해 규정 체계에 맞게 정비하고, ▲인체조직 수입 시 제출하던 '제조원 조직은행 인증서'를 자료 요건에서 제외해 중복 제출 부담을 해소한 것이다.
식약처는 이번 조치로 인체조직은행의 허가 및 수입 절차가 보다 명확하게 운영돼 관련 업계의 행정 부담이 완화될 것으로 기대된다고 밝혔다.
📢3Q25P 포스코퓨처엠 컨콜 요약📢
① 실적 및 전망
[1. 전체 실적 요약]
* 연결 매출액: 8,748억원
* 영업이익: 667억원 (영업이익률 7.6%)
* 매출총이익: 1,244억원
* 영업외손익: -94억원 (환율효과로 손실 축소)
* 당기순이익: 464억원
* EBITDA: 1,194억원
주요 특징:
* 전구체 본격 가동에 따른 매출 증가 및 수익성 개선
* 양극재 사업부 3분기 흑자전환 달성
* 음극재는 출하 감소에도 불구하고 생산성 개선 및 재고평가충당금 환입으로 적자폭 축소
* 기초소재는 유가 하락에 따른 화성품 마진 스프레드 축소로 영업이익 소폭 감소
[2. 사업부별 실적 분석]
1) 에너지 소재 부문: 매출액 5,334억원, 영업이익 474억원
- 양극재 판매량 증가, 가동률 상승에 따른 고정비 절감 및 전구체 안정화. 재고충당금 일부 환입 반영
2) 기초 소재 부문: 매출액 3,414억원, 193억원
- 플랜트 매출 감소 및 화성품 단가 하락, 다만 라임 판매단가 상승 효과 반영
[3. 재무현황]
* 총자산: 9조 1,238억원
* 현금성자산: 8,366억원
* 매출채권: 6,848억원
* 재고자산: 8,470억원
* 유형자산: 5조 9,024억원
* 총부채: 4조 6,503억원
* 총차입금: 3조 8,179억원
* 자본총계: 4조 4,735억원 (‘25년 8월 유상증자 반영)
* 부채비율: 104%
* 순차입금: 2조 9,813억원 (순차입금비율 하락으로 재무구조 개선)
[4. 원재료 및 시장 동향]
* 탄산리튬: 9월 평균 9.4달러/kg (6월 대비 +16%)
* 니켈: 15.1달러/kg (강보합세 유지)
* 코발트: 콩고 수출쿼터 제한 영향으로 36.2달러/kg까지 상승세 지속
[5. 하반기 전망 관련 코멘트]
- 4Q: 북미 보조금 축소 및 EV 수요 둔화로 불확실성 확대 → 3분기 수준 판매 모멘텀 유지 어려움
- CAPEX 계획:
* 2025년 1.5~1.6조원
* 2026년 약 1.2조원 (당초 대비 소폭 증액)
- 신규 공장 진척:
* 광양 5단계, 포항 2-2단계, 캐나다 공장 모두 2026년 기계적 준공 목표,
상업 양산 및 감가상각 인식은 2026년 하반기 이후로 전망
- LFP 진출:
* 중국 파트너와 MOU 기반으로 ESS용 LFP 시장 진입 준비 진행
* 국내 셀사와 ESS 소재 공급 물량 협의 중
[6. 전략 및 주요 코멘트]
- 환율 효과: 외화자산 평가이익으로 영업외손실 축소, 영업부문 직접 영향은 제한적
- 지역별 매출:
* 유럽향 약 25%
* 미국향 약 50%
- ESS 관련: SDI를 통한 공급 지속, LFP 활용 기회 병행 모색
- 천연흑연 음극재: 글로벌 고객사와 공급계약 체결 → 향후 매출 및 수익성 개선 기대
- 퓨처그라프(자체 흑연 공장): 2027년 가동 목표로 원가경쟁력 및 공급망 안정화 추진
② Q&amp;A 요약
Q1. 양극재·음극재 출하량 및 ASP 변화
A1. 양극재 출하량은 전분기 대비 약 2배 증가, 음극재는 소폭 감소. 평균판매가격(ASP)은 큰 변동 없음
Q2. 재고평가충당금 규모
A2. 총 100억원을 소폭 상회하는 수준. 대규모 환입은 아니며, 생산량 증가로 인한 원가 하락 영향에 따른 일부 환입 반영
Q3. ESS 관련 대응 전략
A3. ESS 보조장치는 삼성SDI를 통해 공급 중. LFP 분야 진입을 위한 중국 파트너와의 협의 및 시장 진입 가속화 진행
Q4. 지역별 매출 비중
A4. 유럽향 25%, 미국향 약 50%
Q5. 4분기 및 2026년 수익성 전망
A5. 4분기는 북미 보조금 축소 영향으로 불확실성 확대, 판매 모멘텀 유지 어려움
2026년 가이던스는 내부 점검 중으로 구체적 제시 어려움
Q6. 환율 효과
A6. 영업외 부문에서 의미 있는 평가이익 발생, 영업 부문 영향은 제한적
Q7. 연간 양극재 출하 가이던스
A7. 전년 5.6만톤(56,000톤) 대비 감소 가능성 언급
Q8. LFP 개발 및 ESS 공급 계획
A8. ESS용 소재는 국내 셀사와 정확한 물량 협의 중
LFP는 중국 파트너와 MOU 기반 시장 진입 가속화 목표
Q9. 2026년 출하 전망
A9. M86 등 북미향은 불확실성 있으나, 유럽 및 NC 계열은 기저효과로 개선 가능성.
Q10. 음극재 전망 및 공급계약 현황
A10. 다수의 글로벌 고객사와 공급계약 협상 막바지, 2026년부터 물량 상승세 지속 전망
Q11. 중국 수출 규제 영향
A11. 직접 수요 증가는 제한적이지만, 북미 OEM과 협상 확대 중
연간 2만톤 가동 시 BEP 이상, 두 자릿수 영업이익률 달성 가능
Q12. 원료 조달 및 관세 대응
A12. 현재 중국 기반 조달, 관세 영향은 제한적
2027년 퓨처그라프 가동으로 원가 및 공급망 경쟁력 강화 예정
Q13. CAPEX 계획
A13. 2025년 1.5~1.6조원, 2026년 1.2조원 내외로 조정
Q14. 신규 공장 양산 시점
A14. 광양 5단계·포항 2-2단계·캐나다 공장은 2026년 기계적 준공, 상업 양산 및 감가상각은 2026년 하반기 이후 예상
[키움 조선/기계/방산/항공우주 이한결]
▶️방산(Overweight)
3Q25 Preview: 꺾이지 않는 무기 수요
◎ 전반적인 이익 개선 흐름 유효
- 커버리지 방산 5사의 3분기 실적은 대체적으로 방산 부문의 수출 사업 확대에 따른 매출 성장과 이익 개선으로 호실적 전망
- 다만, 일부 업체의 경우 자회사의 실적 부진, 제품 납기 및 방산 매출 인식 지연 등의 영향으로 부진한 실적 예상
◎ 방산 수주 성과 양호, 내년 수주는 더욱 늘어날 것
- 올해 국내 방산 업체들은 전반적으로 견조한 해외 수주 성과 달성, 현대로템의 폴란드 K2 전차 2차 공급 계약(약 9조원), 필리핀 FA-50(약 1조원), 인도/베트남 K9(약 7천억원) 등
- 국내 수주에서도 KF-21 후속 양산 계약(약 2.4조원), L-SAM 다기능레이더 양산(3,500억원) 등 주요 계약이 차질없이 진행
- 한화에어로스페이스의 루마니아, 사우디 수출 사업과 현대로템의 이라크, 루마니아, 사우디 등 4Q25 이후로 기대되는 해외 수주 규모는 더욱 확대될 전망
- 한국항공우주도 말레이시아, 이집트, 페루 등 여러 국가들과 FA-50 수출 협상 기대, 올해 12월부터 미 해군 고등훈련기 사업 본격적으로 추진 예정
- LIG넥스원의 방공망 및 유도무기 체계에 대한 글로벌 지역의 관심도 중동을 중심으로 증가하고 있어 추가 수출 기대
◎ 방산업종 비중확대 의견 유지
- 고수익 해외 사업의 매출 비중 확대로 이익 개선세 지속과 러-우 전쟁 장기화 등 지정학적 긴장김 지속에 따른 글로벌 방위비 지출 확대 기조 유효
- 국내 업체들의 수출 제품 라인업 확대와 수출 지역 다변화로 대규모 해외 수주 모멘텀이 지속된다는 점을 감안하면 방산업종 상승 여력은 충분하다고 판단
◎ Top Pick 현대로템, 한화에어로스페이스
▶️리포트: https://bit.ly/4nk5cMN
[하나/에너지화학/윤재성] 유니드: 아쉬운 하반기
▶️ 보고서: https://bit.ly/47psivH
▶️ 실적 하이라이트 및 애널리스트 Comment
- 3Q25 영업이익은 188억원으로 컨센(247억원)을 24% 하회했습니다. 원가 상승분을 판가에 Full 반영하지 못했고, 염소 적자가 확대된 영향입니다.
- 4Q25 영업이익은 150억원으로 QoQ 추가 감익을 예상합니다. 원가 상승분에 대한 판가 일부 전가에도 불구하고, 한국법인의 12월 정기보수 때문입니다.
- BUY를 유지하나, TP는 기존 10만원에서 9만원으로 하향합니다. 2025~26년 영업이익 추정치를 10% 가량 하향한 영향입니다.
- BUY를 유지하는 것은, 유니드의 탄산칼륨/가성칼륨은 주로 비료/농약 등의 원료로 사용되는데 2026년 이후 글로벌 비료 시장은 요소(N), 인료(P), 칼륨(K) 모두 타이트한 수급이 예상되기 때문입니다.
- 특히, 요소비료(N)는 2029년까지 공급이 제한적입니다. NPK는 서로 간의 일부 대체 효과가 발생하기 때문에 칼륨 강세는 2026년에도 지속될 것입니다.
- 다만, 단기적으로 판가 저항이 발생하고 있어 점진적인 판가 전가가 이뤄지면, 이를 확인하고 주가는 재차 상승이 가능할 것으로 예상됩니다.
- 또한, 트럼프 정부 하에서 탄소 포집 기술의 중요성은 지속적으로 강조되고 있는 바, 여전히 가성칼륨의 탄소 흡착제로서의 시장 성장성은 충분하다고 판단합니다.
▶️ 3Q25 영업이익 컨센 24% 하회
- 국내 화학 영업이익 124억원(QoQ -39%, OPM +8%) 기록. 판가 저항 및 이에 따른 판매량 QoQ -8% 감소 등에 기인
-중국 화학 영업이익 57억원(QoQ -52%, OPM +3%) 기록
▶️ 4Q25 영업이익 QoQ -20% 감익 전망
- 국내화학 영업이익은 114억원(QoQ -8%, OPM +8%) 전망
- 중국화학 영업이익은 33억원(QoQ -42%, OPM +2%) 추정
** 하나증권/에너지소재/윤재성
[하나증권 방산/기계 채운샘]
LIG넥스원
3Q25 프리뷰: 주가 약세에도 실적은 컨센서스 부합
□ 목표주가 562,000원, 투자의견 매수 유지
LIG넥스원 목표주가 562,000원과 투자의견 매수를 유지한다. 3분기 실적은 시장 컨센서스에 부합할 전망이다. 상반기에 이연된 개발비 등 비용이 3분기와 4분기에 반영되고 4분기에는 내수 수주가 집중되는 계절성을 감안하면 충당금 설정 가능성도 있다. 이러한 점들을 종합하면 연중 영업이익 흐름은 상고하저가 예상된다. 과거와 마찬가지로 이번 하반기 영업이익이 상반기를 상회하기는 어려워 보인다. 다만 전년대비로 보면 매출 규모 증가와 고마진 수출 비중 상승에 힘입어 3, 4분기 영업이익은 각각 42%, 20% 성장할 전망이다. 2026년에는 수출 매출이 더 가파르게 증가하면서 높은 이익 성장세가 기대된다. 2025년 2분기 기준 수주잔고는 23.5조원으로 약 5.7년치 매출에 해당하는 일감을 보유 중이다. 현재 주가 기준 2025년 PER 32.7배, 2026년 PER 27.4배이다.
□ 3Q25 영업이익 738억원(YoY +42.1%) 컨센서스 부합 전망
3분기 매출액은 1.0조원으로 전년대비 35.1% 증가할 전망이다. 지역별로 보면 내수와 수출이 각각 28.1%, 62.7% 성장할 것으로 추정한다. 내수는 전년동기 고성장에 따른 높은 기저에도 불구하고 누적 수주잔고의 매출 인식 확대를 가정했다. 수출은 중동을 중심으로 천궁 매출 인식이 확대되며 실적 성장을 주도할 전망이다. 영업이익은 738억원, 영업이익률은 7.4%로 각각 전년대비 42.1% 증가, 0.4%p 개선될 것으로 예상한다. 매출 규모 확대에 따라 영업이익도 증가할 전망이다. 고마진 수출 규모 역시 전년대비 확대될 것으로 추정한다. 다만 개발비와 인건비 등의 비용 증가로 영업레버리지 효과는 제한적일 것으로 보인다.
□ 4Q25 영업이익 741억원(YoY +20.1%) 예상
4분기 매출액은 1.2조원으로 전년대비 3.3% 증가할 전망이다. 3분기에 이어 중동 매출 인식이 추가 확대되면서 수출은 성장세를 이어나갈 것으로 예상한다. 내수 매출은 통상 4분기에 계절적으로 크게 늘어나는 경향이 있으나 사측의 연간 실적 가이던스를 감안해 전년대비 소폭 감소하는 것으로 가정했다. 이를 종합하면 내수와 수출 매출은 각각 전년대비 3.7% 감소, 34.3% 증가할 전망이다. 영업이익은 741억원, 영업이익률은 6.2%로 각각 전년대비 20.1% 증가, 0.9%p 개선될 것으로 예상한다. 통상 4분기는 국내 신규 수주 계약이 집중되는 시기로 손실충당금이 늘어나는 경향이 있다. 그럼에도 고마진 수출 매출 확대로 전년대비 수익성은 개선될 것으로 추정한다.
(채운샘 3771-7724)
첨단소재 채널링크: https://t.me/joinchat/R5wiYmLh1nl43aOC
보고서 링크: https://buly.kr/uUzsSp
[NH/주민우] 2차전지산업
■ 2차전지산업 - 엔비디아가 쏘아올린 큰 공
- Kodex 2차전지 ETF가 10월들어 42% 상승. 본격적인 상승은 10월 13일 엔비디아 OCP Summit 발표 이후 시작. 엔비디아는 1) ‘27년부터 AI 데이터센터 전력 아키텍처를 400V AC에서 800V DC기반으로 전환하고, 2) 발전원 상관없이 ESS를 설치해 부하 변동성을 낮추고 과잉투자를 줄일 수 있다고 언급. BESS의 역할이 신재생에너지의 간헐성을 보완해주는 수동적 역할에서 AI데이터센터의 핵심 인프라로 확대될 수 있음을 시사하며 기대감이 커짐. 이는 2차전지 업체들의 중장기 실적 가시성을 높여주는 긍정적인 변화. 이를 반영해 글로벌 ESS 수요 전망치를 ‘26년 +24%, 27년 +30%, 28년 +38% 상향(표1 참조). 예상보다 빠른 ESS 성장에 LG에너지솔루션의 영업이익 내 ESS 비중은 ‘25년 14%에서 26년 47%, 27년 43%로 빠르게 확대되며 ESS 수요 강세가 체감될 전망
- 미국 중심의 EV 수요 둔화 리스크는 여전하기 때문에 ESS 대응능력과 실적비중이 높은 업체들 중심으로 접근해야 EV 부문 리스크를 최소화할 수 있음. 당사는 LG에너지솔루션과 엘앤에프를 선호. 이번 실적설명회를 통해서도 테슬라를 제외한 대부분의 OEM들이 EV 판매 목표를 낮췄고, 보수적인 재고 운영 계획을 가지고 있는 것이 확인된 바 EV 부문 실적 하향 조정 리스크는 여전히 주의가 필요. ‘26년 영업이익 전망치는 계속 우하향 하고 있음(그림6 참조</t>
  </si>
  <si>
    <t>. 내년초까지 EV 눈높이 조정이 마무리되면 ESS 실적 개선에 기반한 본격적인 반등 기대</t>
  </si>
  <si>
    <t>자세한 내용은 리포트 본문 참조바랍니다.</t>
  </si>
  <si>
    <t>리포트 다운로드 ☞ https://m.nhqv.com/c/yg4pw</t>
  </si>
  <si>
    <t>[은행 Weekly/ 하나증권 최정욱</t>
  </si>
  <si>
    <t xml:space="preserve"> CFA ☎️3771-3643]</t>
  </si>
  <si>
    <t>안녕하세요. 하나증권 최정욱입니다.</t>
  </si>
  <si>
    <t>10월 마지막주 은행업종 주간동향 보내드립니다.</t>
  </si>
  <si>
    <t>★ 은행(Overweight): 답답하지만 건전한 기간 조정의 흐름으로 판단.</t>
  </si>
  <si>
    <t>▶️ 전주에도 은행주 시장대비 큰폭 초과하락. 절대 주가 레벨은 횡보 양상을 보이고 있지만 KOSPI 급등세를 쫒아가지 못하고 있음</t>
  </si>
  <si>
    <t>- 전주에도 은행주는 0.6% 상승에 그쳐 KOSPI 상승률 5.1% 대비 큰폭 초과하락. 최근 1개월간 은행주의 KOSPI 대비 초과하락 폭은 13.7%p로 커졌으며 최근 3개월 초과하락 폭은 25.5%에 달해 절대적인 주가 레벨은 횡보 양상을 보이고 있지만 9월 이후 급등하고 있는 KOSPI 상승률을 전혀 쫒아가지 못하고 있는 상황(KOSPI 상승은 IT와 배터리</t>
  </si>
  <si>
    <t xml:space="preserve"> 조선업종 등이 주로 견인)</t>
  </si>
  <si>
    <t>- 지난주에는 특이 이슈는 없었던 가운데 정부가 비수도권 정책금융을 3년내 24조원 가량 확대하는 방안을 발표. 민간금융도 비수도권에 공급을 확대하도록 비수도권 대출에는 예대율 규제를 완화하는 방안을 검토하기로 함. 정책금융은 상장은행 중에서는 기업은행에만 해당되는 내용인데다 2분기말 기준 은행들의 평균 예대율이 98.2%로 100%를 다소 하회하고 있어 예대율 완화가 민간은행들의 지방대출 확대를 위한 강력한 동인으로 작용하기는 다소 어려울 것으로 전망</t>
  </si>
  <si>
    <t xml:space="preserve"> 일본 총리 취임 이후의 엔화 약세 심화 현상 등으로 상승해 1</t>
  </si>
  <si>
    <t>439.4원으로 마감했고 한주간 17.2원이나 상승. 지난주 외국인들은 은행주 순매도 규모를 확대. 1</t>
  </si>
  <si>
    <t>780억원을 순매도해 KOSPI 순매도액 7</t>
  </si>
  <si>
    <t>920억원을 감안해도 은행주 매도 규모가 상당했음. 반면 국내 기관은 KOSPI와 은행주를 각각 2.6조원과 1</t>
  </si>
  <si>
    <t>750억원 순매수</t>
  </si>
  <si>
    <t>▶️ 한은 금통위 예상대로 기준금리 동결. 사실상 연내 인하가 어려워졌다는 시각 대다수. 다만 컨센서스 변화 여지는 있다고 판단</t>
  </si>
  <si>
    <t>- 10월 금통위에서는 예상대로 기준금리를 동결. 1명의 인하 소수의견이 있었는데 한은 총재는 부동산시장 과열에 따른 금융 불안 위험을 우려하며 금리 인하 시기와 폭에 대해서 신중한 조정이 불파기함을 시사. 최근 원/달러 환율이 상승 중인데다 정부의 부동산대책 효과가 확인되어야 한다는 점에서 시장에서는 사실상 연내 인하가 어려워졌다는 시각</t>
  </si>
  <si>
    <t xml:space="preserve"> 환율 상황 등에 따라 컨센서스가 변화될 여지는 있다고 판단</t>
  </si>
  <si>
    <t>▶️ 은행 3분기 실적은 컨센서스보다 높아진 최근 조정 추정 순익을 추가 상회 예상. 비과세 감액 배당 검토 답변 등이 주요 관심사</t>
  </si>
  <si>
    <t>- 금주 28일 신한지주를 시작으로 은행지주사 3분기 실적 발표 시즌 개막. 실적은 컨센서스보다 소폭 높아진 애널리스트들의 조정된 추정 순익을 추가적으로 상회할 수 있을 것으로 예상. 자본비율도 일부 은행을 제외하고는 전체적으로 추가 상승하면서 당장의 실적과 펀더멘털 측면에서는 투자자들의 우려가 발생할 일은 없을 전망</t>
  </si>
  <si>
    <t>- 금번 실적 발표 Q&amp;A에서 향후 비과세 감액 배당 실시 여부에 대한 긍정적인 검토 답변 등이 나올 것으로 예상되는데 이러한 요인은 2026년 하반기경부터 은행주 상승의 주요 모멘텀으로 작용 가능할 것으로 예상(우리금융 제외 전 은행들이 2026년 결산배당 지급 시기인 2027년초부터 배당이 비과세되기 때문). 세금 이슈에 민감한 개인 고액자산가들의 은행주 투자 유인이 상당히 커지기 때문</t>
  </si>
  <si>
    <t>▶️ 답답한 상황 이어지고 있지만 건전한 조정 흐름으로 판단. 가격 조정은 없는데다 multiple 및 주주환원율 상승 신뢰감 높기 때문</t>
  </si>
  <si>
    <t>- 지수가 급등하고 있음에도 은행주는 제자리 걸음을 하면서 상당히 답답한 상황이 이어지고 있지만 우리는 건전한 조정 흐름으로 판단. 2024년초부터 2025년 상반기까지 워낙 은행주의 상승 폭이 컸던데 따른 피로감으로 기간 조정은 자연스러운 모습이고 최근의 각종 우려 요인 및 불확실성 발생에도 불구하고 가격 조정 양상은 나타나고 있지 않으며(시장이 아무리 좋아도 가격이 하락할 업종은 주가가 하락) 글로벌 상대 PBR 측면에서 한국 은행주는 여전히 multiple 상승 여력이 크고</t>
  </si>
  <si>
    <t xml:space="preserve"> 주주환원율 추가 상승에 대한 신뢰감도 높기 때문</t>
  </si>
  <si>
    <t xml:space="preserve"> 3차 상법개정안 통과 등이 은행주 투자심리를 개선시킬 수 있는 요인으로 작용될 수 있다고 판단</t>
  </si>
  <si>
    <t>▶️ 금주 은행 주간 선호 종목으로 KB금융(매수/TP 147</t>
  </si>
  <si>
    <t>000원)과 BNK금융(매수/TP 19</t>
  </si>
  <si>
    <t>000원)을 제시</t>
  </si>
  <si>
    <t>리포트 ☞ https://buly.kr/GktC4OI</t>
  </si>
  <si>
    <t>하나증권 철강금속 박성봉] 철강금속(Overweight): 철강금속 Weekly(2025.10.27): 중국 조강 생산 감소세 지속 전망</t>
  </si>
  <si>
    <t>▶️ 보고서: https://shorturl.at/sMdmr</t>
  </si>
  <si>
    <t>▶️ 철강금속 주요 지표 동향</t>
  </si>
  <si>
    <t xml:space="preserve"> 수요 여전히 부진</t>
  </si>
  <si>
    <t xml:space="preserve"> 특히 철근은 과열 경쟁까지 이어지며 가격 급락</t>
  </si>
  <si>
    <t>- 중국 철강 유통가격: 4중전회 이후 뚜렷한 수요 회복 신호 부진으로 전반적으로 약세 지속</t>
  </si>
  <si>
    <t xml:space="preserve"> 중국 4중전회 이후 부양책 기대감으로 큰 폭 상승. 귀금속 가격은 약세 전환</t>
  </si>
  <si>
    <t>▶️ 철강금속기업 주가 동향</t>
  </si>
  <si>
    <t>▶️ 주간 Issue &amp; Comment</t>
  </si>
  <si>
    <t>- 중국 조강 생산 감소세 지속 전망: 전세계철강협회(WSA)에 따르면 전세계 9월 조강 생산은 전년동기대비 1.6% 감소한 1.4억톤을</t>
  </si>
  <si>
    <t xml:space="preserve"> 9월 누적으로도 1.6% 감소한 13.7억톤을 기록했다. 특히 전세계 최대 생산국인 중국의 감소세가 두드러졌는데 9월에 7</t>
  </si>
  <si>
    <t>350만톤을 생산하면서 전년동기대비 4.6% 감소했고 9월 누적으로도 7.5억톤으로 2.9% 감소했다. 기본적으로 건설용 강재 중심으로 수요가 부진한 상황에서 9월초 베이징 기념행사 전후로 대기질 개선을 위해 중국 북부 제철소를 대상으로 한 생산 규제가 생산 감소로 이어졌다. 또한 수익성 악화도 원인으로 작용했는데 Mysteel에 따르면 중국 고로의 열연 생산 이익률이 8월 톤당 139위안에서 9월에는 51.5위안으로 하락했다. 참고로 중국 최대 철강 생산 지역인 허베이성의 경우 9월 누적 조강 생산이 전년동기대비 14.3% 급감했다. 중국의 철강 수요 부진과 전세계적으로 확산되고 있는 중국산 철강 수입 규제 강화를 감안하면 중국 철강 생산 감소세는 앞으로도 지속될 것으로 예상된다.</t>
  </si>
  <si>
    <t>[위 문자는 컴플라이언스의 승인을 득하였음]</t>
  </si>
  <si>
    <t>**하나증권 소재산업재 텔레그램</t>
  </si>
  <si>
    <t>링크: https://t.me/joinchat/AAAAAEecImKoJBorcHRPWQ</t>
  </si>
  <si>
    <t>[하나증권 철강금속 박성봉] POSCO홀딩스(005490.KS/매수): 조금씩 영업실적 개선 중!</t>
  </si>
  <si>
    <t>▶️ 보고서: https://shorturl.at/GVFhe</t>
  </si>
  <si>
    <t>▶️ 3Q25 예상했던 수준의 영업실적 기록</t>
  </si>
  <si>
    <t>- 3분기 매출액 17.3조원(YoY -5.8%</t>
  </si>
  <si>
    <t xml:space="preserve"> QoQ -1.7%)과 영업이익 6</t>
  </si>
  <si>
    <t>390억원(YoY –13.5%</t>
  </si>
  <si>
    <t xml:space="preserve"> QoQ +4.9%</t>
  </si>
  <si>
    <t xml:space="preserve"> 컨센서스 6</t>
  </si>
  <si>
    <t>176억원) 기록</t>
  </si>
  <si>
    <t>1) 내수 부진과 일부 공장 대보수 영향으로 POSCO의 철강 판매량 824만톤(YoY -0.1%</t>
  </si>
  <si>
    <t xml:space="preserve"> QoQ +0.9%) 그쳐</t>
  </si>
  <si>
    <t>2) 탄소강 ASP 전분기대비 2.5만원/톤 하락</t>
  </si>
  <si>
    <t xml:space="preserve"> 고로 원재료 투입단가도 비슷한 수준으로 하락</t>
  </si>
  <si>
    <t>3) 해외 철강 자회사들: 인도 공장 대수리 따른 판매 감소로 부진 두드러져</t>
  </si>
  <si>
    <t>4) 포스코퓨처엠 비롯 2차전지 소재 사업 부문: 양극재 판매 증가와 리튬 가격 상승 등 영향 전분기대비 적자폭 크게 축소</t>
  </si>
  <si>
    <t>5) 포스코이앤씨 신안산선 붕괴 사고 따른 대규모 비용 반영으로 적자폭 크게 확대 반면</t>
  </si>
  <si>
    <t xml:space="preserve"> 포스코인터내셔널 전분기와 유사한 이익률 기록</t>
  </si>
  <si>
    <t>▶️ 4분기 철강 부문 이익률 소폭 하락 전망</t>
  </si>
  <si>
    <t>- 4분기도 내수 부진과 비수기 및 일부 공장 대보수 영향으로 POSCO의 철강 판매 800만톤(YoY -5.5%</t>
  </si>
  <si>
    <t xml:space="preserve"> QoQ -3.0%) 그칠 예상</t>
  </si>
  <si>
    <t>- 철광석 가격 및 원/달러 환율 상승 영향으로 4분기 POSCO의 고로 원재료 투입단가는 대략 0.5만원/톤 상승할 것으로 예상</t>
  </si>
  <si>
    <t>- POSCO의 탄소강 ASP 전분기와 유사한 수준 기록하며 4분기 철강 스프레드 소폭 축소 전망</t>
  </si>
  <si>
    <t>- 4분기 발전 비수기와 철강 트레이딩 부진으로 포스코인터내셔널 이익 소폭 감소 예상</t>
  </si>
  <si>
    <t xml:space="preserve"> 포스코이앤씨의 경우 4분기 추가로 3분기때의 일시적 공사 중단 관련 비용 반영 예정</t>
  </si>
  <si>
    <t>- 이를 감안한 POSCO홀딩스의 4분기 영업이익 6</t>
  </si>
  <si>
    <t>495억원(YoY +580.9%</t>
  </si>
  <si>
    <t xml:space="preserve"> QoQ +1.7%) 예상</t>
  </si>
  <si>
    <t>▶️ 투자의견 ‘BUY’와 목표주가 740</t>
  </si>
  <si>
    <t>000원 유지</t>
  </si>
  <si>
    <t>- 중국 및 일본산 열연 반덤핑 잠정관세 9월 23일부터 부과되고 있는데 일정 수준 재고 소진 후 본격적인 가격 상승 예상</t>
  </si>
  <si>
    <t xml:space="preserve"> 중국산 후판 수입 규제로 조선용 후판 가격 상승도 기대</t>
  </si>
  <si>
    <t>- 2차전지 소재 사업</t>
  </si>
  <si>
    <t xml:space="preserve"> 특히 리튬의 경우 올해 중 가격 상승 기대하기는 어려울 전망이나 내년으로 갈수록 각각의 공장 가동률 상승 따른 원가 부담 축소 가능 예상</t>
  </si>
  <si>
    <t>[하나증권 유틸/상사/전력기기/조선 유재선]</t>
  </si>
  <si>
    <t>포스코인터내셔널</t>
  </si>
  <si>
    <t>불확실성에도 안정적인 실적 달성</t>
  </si>
  <si>
    <t>□ 목표주가 66</t>
  </si>
  <si>
    <t>000원</t>
  </si>
  <si>
    <t xml:space="preserve"> 투자의견 매수 유지</t>
  </si>
  <si>
    <t>포스코인터내셔널 목표주가 66</t>
  </si>
  <si>
    <t xml:space="preserve"> 투자의견 매수를 유지한다. 3분기 실적은 컨센서스에 부합했다. 국내외 불확실성 확대 국면에서도 이익 창출 능력은 안정적이었다. 미얀마 실적 감소를 발전 부문의 마진 상승으로 만회했다. 철강은 관세 영향에도 불구하고 실적 흐름이 양호했으며 구동모터코아는 공급물량 증가로 흑자 기조를 유지했다. SENEX의 가파른 이익 성장이 확인되었고 2026년 실적 성장의 핵심 요인으로 작동할 전망이다. 2026년 기준 PER 12.5배</t>
  </si>
  <si>
    <t xml:space="preserve"> PBR 1.4배다.</t>
  </si>
  <si>
    <t>□ 3Q25 영업이익 3</t>
  </si>
  <si>
    <t>159억원(YoY -11.6%)으로 컨센서스 부합</t>
  </si>
  <si>
    <t>3분기 매출액은 8.2조원을 기록하며 전년대비 1.3% 감소했다. 소재 부문에서 철강은 미국 관세와 EU 쿼터 소진에 따른 영향으로 매출이 감소했고 소재바이오도 전방 산업 시황 부진 등에 의해 외형이 줄어들었다. 구동모터코아는 HEV 판매 개선으로 EV 수요 감소분을 만회하며 성장 구간으로 진입했다. 에너지 부문은 미얀마 가스전의 판매량 감소와 발전 이용률 하락 및 SMP 하락 영향에 매출이 감소했지만 SENEX의 경우 생산설비 가동으로 판매량이 증가하며 외형이 성장했다. 10월 중 잔여 가스처리시설 가동이 예정되어 있어 2026년에는 온기 성장이 나타날 전망이다. 터미널은 임대 및 LPG 증열 매출이 증가했다. 영업이익은 3</t>
  </si>
  <si>
    <t>159억원을 기록하며 전년대비 11.6% 감소했다. 미얀마 가스전 및 무역 부문 수익 둔화가 주된 원인으로 보인다. 철강은 미국과 유럽 정책 영향에도 지난 분기처럼 달러 대비 유로화 강세로 이익 개선 효과가 나타났다. 미얀마 가스전은 판가 약세와 투자비 회수비율 하락에 감익을 기록했지만 최근 유가 상승 전환으로 향후 판가는 안정화될 수 있다. 발전은 성수기 이용률이 전년대비 하락한 가운데 용량요금 및 정산금 증가로 마진이 개선되었다. 구동모터코어는 판매량 개선과 원가 절감 노력으로 흑자 기조를 지속하는 모습이다. SENEX는 공급물량이 증가하면서 고정비 레버리지 효과로 증익폭이 확대되었다.</t>
  </si>
  <si>
    <t>□ 안정적 현금흐름을 바탕으로 밸류체인 확장 및 신사업 진출 다수 진행</t>
  </si>
  <si>
    <t>모터코어 멕시코 2공장이 최근 양산을 시작했고 폴란드 공장도 2026년 2월 양산을 개시할 예정이다. 기존에 확보된 수주잔고를 기반으로 전사 외형 확대에 기여할 전망이다. 북미와 동남아에서 희토류 물량을 연 1.1만톤 이상을 확보하여 영구자석 생산에 활용할 예정이다. 미국 천연가스 업스트림 자산 투자의 경우 2분기 중 자산 실사를 진행했으며 연내 결과를 확인할 수 있을 것으로 보인다. 센트러스에너지</t>
  </si>
  <si>
    <t xml:space="preserve"> 한수원과 핵연료 사업 관련 공동투자 검토 및 농축우라늄 Off-take MOU를 체결하면서 사업 영역을 확장 중이다.</t>
  </si>
  <si>
    <t>(유재선 3771-8011)</t>
  </si>
  <si>
    <t>첨단소재 채널링크: https://t.me/joinchat/R5wiYmLh1nl43aOC</t>
  </si>
  <si>
    <t>보고서 링크: https://shorturl.at/coIMM</t>
  </si>
  <si>
    <t>시총 10조원대</t>
  </si>
  <si>
    <t>3분기 실적 매출 82</t>
  </si>
  <si>
    <t>483억 / 영업이익 3</t>
  </si>
  <si>
    <t>159억 / 순이익 2</t>
  </si>
  <si>
    <t>097억</t>
  </si>
  <si>
    <t>『보로노이(310210.KQ) - 기대가 현실로』</t>
  </si>
  <si>
    <t>기업분석부 엄민용 ☎️ 02-3772-1546</t>
  </si>
  <si>
    <t>▶️ 신한생각: VRN11 임상 1상 중간 결과 상당히 고무적으로 판단</t>
  </si>
  <si>
    <t>지난 23일 미국에서 열린 AACR-NCI-EORTC 2025에서 비소세포폐암 신약 VRN11의 EGFR C797S 변이 ORR 75%</t>
  </si>
  <si>
    <t xml:space="preserve"> 뇌전이 CR 2명의 상당히 고무적 1상 중간 결과 발표. 12월 ESMO asia에서 400mg 이상 유효성 발표 예정이며 이미 240mg 결과로 약효 검증이 충분히 이뤄졌다고 판단</t>
  </si>
  <si>
    <t>▶️ 3개 부분 서프라이즈: C797S 효과 확인</t>
  </si>
  <si>
    <t xml:space="preserve"> 뇌투과율</t>
  </si>
  <si>
    <t xml:space="preserve"> 부작용 큰 이점</t>
  </si>
  <si>
    <t>VRN11은 EGFR 변이 비소세포폐암(NSCLC) 타그리소(매출 약 9조원)의 내성으로 약 10% 환자에게 발생하는 C797S 변이 대상 1a상 진행 중. AACR에서 240mg 중간 용량까지 유효성 발표. C797S 변이 대상 ORR 75% 확인. 아직 C797S 환자 수 4명으로 낮지만 목표 변이에서 중간 또는 그 이하 용량이었음에도 효과와 부작용이 확인되었다는 점에 주목. 오히려 지금부터는 PR*의 유지</t>
  </si>
  <si>
    <t xml:space="preserve"> 말 그대로 PFS 6개월을 넘느냐가 더욱 중요</t>
  </si>
  <si>
    <t>PR 3명은 종양의 크기 감소가 최대 44~51%였으며 그 중 뇌전이 병변의 CR 2명까지 확인. 뇌전이는 환자의 생존기간과 직결되는 부분으로 중요. ESMO asia에서 구체적으로 발표될 예정인 400mg의 고용량 데이터 중 Grade 3 부작용 환자 미발견된 부분 또한 서프라이즈</t>
  </si>
  <si>
    <t>▶️ Valuation &amp; Risk: 이제 주요 결과 발표이어질 것</t>
  </si>
  <si>
    <t xml:space="preserve"> 주목 필요</t>
  </si>
  <si>
    <t>VRN11 2026년 4분기 FDA 가속승인 신청 목표. 아미반타맙+레이저티닙 처방 증가에 따라 C797S 획득 변이 소폭 감소 가능하나 내년 naïve L858R/Del19 대상 최초 임상 진입 및 C797S + unknown 시장만으로 블록버스터 가능. VRN11의 직접 판매 계획 + VRN10(HER2)을 ADC 병용 목적으로 L/O한다면 좋은 약(VRN11)은 직접 팔고 병용 목적(VRN10)은 빅파마와 협업한다는 시장 설득력 강화될 것. 현시점부터 주목 필요</t>
  </si>
  <si>
    <t>※ 원문 확인: http://bbs2.shinhansec.com/board/message/file.pdf.do?attachmentId=340932</t>
  </si>
  <si>
    <t>[신한투자증권 혁신성장 허성규</t>
  </si>
  <si>
    <t xml:space="preserve"> 최승환]</t>
  </si>
  <si>
    <t>이노스페이스(462350.KQ) - 우주로 향하는 첫걸음</t>
  </si>
  <si>
    <t>▶️ 신한생각: 한국 민간 우주 기업 중 처음으로 상업 발사 예정</t>
  </si>
  <si>
    <t>- 상업 발사 지연과 지속된 자금 조달로 공모가 43</t>
  </si>
  <si>
    <t>300원 대비 주가 지속 하락</t>
  </si>
  <si>
    <t>- 11월 한국 민간 우주 산업에서 처음으로 상업 발사 확정</t>
  </si>
  <si>
    <t>▶️ 8년 간의 준비를 끝내고 우주로 향하는 첫걸음</t>
  </si>
  <si>
    <t>- 발사 예상 횟수는 25년 2회</t>
  </si>
  <si>
    <t xml:space="preserve"> 26년 12회</t>
  </si>
  <si>
    <t xml:space="preserve"> 27년 20회 예정</t>
  </si>
  <si>
    <t>- 예정대로 발사 진행되면 26년 손익분기점 돌파</t>
  </si>
  <si>
    <t xml:space="preserve"> 27년 매출 1</t>
  </si>
  <si>
    <t>500억원 가이던스 제시</t>
  </si>
  <si>
    <t>- 5가지 마일스톤은 1단 작동</t>
  </si>
  <si>
    <t xml:space="preserve"> 단분리</t>
  </si>
  <si>
    <t xml:space="preserve"> 2단 작동</t>
  </si>
  <si>
    <t xml:space="preserve"> 페어링 분리</t>
  </si>
  <si>
    <t xml:space="preserve"> 페이로드 분리로 구성</t>
  </si>
  <si>
    <t xml:space="preserve"> 탑재 중량이 유사하며 팰컨1의 경우 3차례 실패 후 4차 시도에 성공</t>
  </si>
  <si>
    <t>▶️ Valuation &amp; Risk: 발사 성공 시 할인 해소 기대</t>
  </si>
  <si>
    <t>- 3분기 수주잔고 2</t>
  </si>
  <si>
    <t>200만달러로 로켓랩 4억달러의 5.5%인 반면 시총은 0.2% 수준</t>
  </si>
  <si>
    <t>- 역대 3회 발사 성공한 파이어플라이의 시총은 5.5조원</t>
  </si>
  <si>
    <t>- 11월 발사 성공 시 한국형 발사체 업체로 재평가 기대</t>
  </si>
  <si>
    <t>※ 원문 확인: http://bbs2.shinhansec.com/board/message/file.pdf.do?attachmentId=340933</t>
  </si>
  <si>
    <t>시총 1500억대</t>
  </si>
  <si>
    <t>25년 9월 유상증자로 484억 가량 확보</t>
  </si>
  <si>
    <t xml:space="preserve"> 기존 주당 0.394주 배정</t>
  </si>
  <si>
    <t>미국 전기차 투자 급감…“中과 경쟁서 뒤처질 우려” (연합뉴스)</t>
  </si>
  <si>
    <t>: FT에 따르면 2025년 3분기 미국의 전기차 관련 투자 규모는 81억달러(약 11.7조원)로</t>
  </si>
  <si>
    <t xml:space="preserve"> 전년 동기 대비 3분의 1 수준으로 급감</t>
  </si>
  <si>
    <t>: 트럼프 행정부의 전기차 세제 혜택 폐지·배출가스 규제 완화 정책이 투자 위축의 주요 원인으로 지목</t>
  </si>
  <si>
    <t>: 스텔란티스는 향후 4년간 130억달러를 투입해 가솔린·하이브리드 생산 확대</t>
  </si>
  <si>
    <t xml:space="preserve"> 포드는 내연기관 부활을 “기회”로 평가</t>
  </si>
  <si>
    <t>: 알릭스파트너스는 2026년 美 EV 판매 비중 7%(기존 전망의 절반)</t>
  </si>
  <si>
    <t xml:space="preserve"> 2030년에도 18%로 중국(51%)·유럽(40%)에 뒤질 것으로 전망</t>
  </si>
  <si>
    <t>▶️ ""타결 임박""했다는 트럼프…정상회담서 극적 합의? 자동차업계 '기대' (머니투데이)</t>
  </si>
  <si>
    <t>: 트럼프 대통령이 “관세 타결 임박” 발언</t>
  </si>
  <si>
    <t xml:space="preserve"> 29일 한미 정상회담에서 패키지딜 형태의 합의 가능성 부상</t>
  </si>
  <si>
    <t>: 쟁점은 3500억달러(약 500조원) 대미 투자펀드의 현금투자 비중·투자기간·수익배분 구조</t>
  </si>
  <si>
    <t xml:space="preserve"> 미국은 전액 현금 원했으나 일부 완화</t>
  </si>
  <si>
    <t>: 자동차 관세가 25%→15% 인하 시 완성차 업계 관세 부담 40~50% 감소</t>
  </si>
  <si>
    <t xml:space="preserve"> 현대차·기아 연 4조원 수준 이익 개선 기대</t>
  </si>
  <si>
    <t>한화오션</t>
  </si>
  <si>
    <t>일회성 제외하면 시장 눈높이 부합</t>
  </si>
  <si>
    <t>□ 목표주가 165</t>
  </si>
  <si>
    <t>000원으로 상향</t>
  </si>
  <si>
    <t>한화오션 목표주가를 120</t>
  </si>
  <si>
    <t>000원으로 기존대비 33.3% 상향하며 투자의견 매수를 유지한다. 2027년 예상 BPS에 목표 PBR 3.7배를 적용했다. 2분기 실적은 시장 컨센서스를 상회했다. 원/달러 하락에 따른 부정적인 효과가 발생했으나 인도 일자 변경 공시 프로젝트 관련하여 선주와 합의를 통한 지체배상금 환입으로 일회성 영향이 상쇄되었다. 건조 Mix 개선과 원가 안정화를 통한 경상적 이익 성장 구간에 진입한 것으로 판단된다. 2025년 2분기 누적 기준 신규 수주는 32.2억달러를 기록했고 수주잔고는 인도기준 303.1억달러로 전분기대비 소폭 감소했다. 2025년 기준 PER 17.4배</t>
  </si>
  <si>
    <t xml:space="preserve"> PBR 3.8배다.</t>
  </si>
  <si>
    <t>□ 3Q25 영업이익 2</t>
  </si>
  <si>
    <t>897억원(QoQ -22.0%)으로 컨센서스 하회</t>
  </si>
  <si>
    <t>3분기 매출액은 3.0조원을 기록하며 전분기대비 8.2% 감소했다. 하계 휴가로 조업일수가 줄어들었기 때문이다. 상선은 계절적 요소로 매출이 감소했으나 LNG선 비중이 60% 이상을 유지하면서 2023년 이후 계약의 매출 기여도가 상승하고 있어 전년대비 성장세는 지속될 것으로 보인다. 특수선은 장보고-III 배치-II 1번함에 이어 2번함도 공정이 진행되면서 원가가 본격적으로 투입되어 매출이 증가했다. 4분기에도 울산급 배치-III 5~6번함 매출이 시작되며 외형 규모가 유지될 전망이다. 해양은 주요 공사 마무리 진입으로 외형이 감소했으며 4분기까지도 둔화 추세가 이어질 것으로 보인다. 영업이익은 2</t>
  </si>
  <si>
    <t>897억원으로 전분기대비 22.0% 감소했다. FPSO 사고 관련 비용과 임단협 타결 관련 비용을 감안하면 시장 눈높이에 부합한 수준이었다. 상선은 조업일수 감소 영향에도 고정비 부담을 극복하면서 높은 마진을 이어간 가운데 과거 저가 물량 비중이 빠르게 감소하고 있으며 고가 선박의 연속 건조 효과로 이익 확대가 가능하다. 특수선은 주력 함정 건조와 MRO 수행으로 안정적인 마진이 유지되었고 향후 신조 호선의 기여도가 높아질 수 있다. 해양은 사고 관련 일회성 비용 등으로 적자로 전환했지만 선제적으로 투입된 비용에 대한 C/O 정산으로 4분기에는 소폭 흑자를 달성할 것으로 예상된다.</t>
  </si>
  <si>
    <t>□ 2026년 LNG선 Mix 변화에도 마진은 견조할 전망</t>
  </si>
  <si>
    <t>신조 시장 불확실성 확대 국면에서 컨테이너선</t>
  </si>
  <si>
    <t xml:space="preserve"> VLCC</t>
  </si>
  <si>
    <t xml:space="preserve"> LNG선 수주로 잔고는 다시 증가세로 전환했다. 한편 현재 상선 매출 대부분을 차지하는 LNG선의 경우 선가 대비 낮은 용선료로 인해 선가와 발주 흐름이 다소 둔화되는 양상이다. 다만 미국 신규 LNG 수출터미널 가동과 장기계약이 확인되고 있으며 노후 스팀터빈 교체 수요 등을 감안하면 발주 여력은 충분한 상황이다. 2026년에는 LNG선 Mix가 감소하는 만큼 컨테이너선의 확대로 예정되어 있으나 마진 측면에서 불리한 부분은 제한적일 전망이다. 캐나다 CPSP</t>
  </si>
  <si>
    <t xml:space="preserve"> 폴란드 Orka 등 현재 진행 중인 다수 특수선 파이프라인이 수주로 이어질 수 있을지 관심을 가질 필요가 있다.</t>
  </si>
  <si>
    <t>보고서 링크: https://shorturl.at/ds46C</t>
  </si>
  <si>
    <t>美 정부</t>
  </si>
  <si>
    <t xml:space="preserve"> 데이터센터 전력망 연결 촉진 위해 규제 기관 압박 (Reuters)</t>
  </si>
  <si>
    <t>라이트 장관은 연방에너지규제위원회(FERC)에 고객이 공동으로 부지 내 부하 및 발전 연계 요청을 제출할 수 있도록 허용하는 규정을 발송. 전력망 개선에 필요한 연구 시간 및 비용</t>
  </si>
  <si>
    <t xml:space="preserve"> 추가 전력 공급 가동 소요 시간 감축 기대</t>
  </si>
  <si>
    <t>https://www.reuters.com/business/energy/us-pushes-regulators-connecting-data-centers-grid-2025-10-24/</t>
  </si>
  <si>
    <t>&gt;CITI : 중국 AI 공급망 재평가 본격화? — 씨티 “광모듈 &gt; PCB &gt; AI 서버” 순 유망</t>
  </si>
  <si>
    <t>•CITI : 중국 AI 공급망 전반이 재평가될 가능성이 커지고 있다며</t>
  </si>
  <si>
    <t xml:space="preserve"> 특히 광모듈 부문에 대한 성장 잠재력을 가장 높게 평가했음. 2027년 고속 광모듈 시장은 아직 반영되지 않은 확장 기회에 의해 추가 상승 여력이 존재한다고 분석함.</t>
  </si>
  <si>
    <t>•또한 PCB 공급은 2026년까지 긴축 국면이 지속될 가능성이 있으며</t>
  </si>
  <si>
    <t xml:space="preserve"> 승홍테크(胜宏科技) 등 적극적인 업체들은 ASIC 관련 수요 증가로 추가 수혜를 볼 수 있다고 전망함. CITI 이들 기업이 엔비디아 공급망 내에서 안정적인 입지를 유지하고 있어</t>
  </si>
  <si>
    <t xml:space="preserve"> 향후 AI 서버보다 높은 성장성이 기대된다고 평가</t>
  </si>
  <si>
    <t>&gt;摘要：花旗表示，2027年高速光模块存在潜在上行空间</t>
  </si>
  <si>
    <t>主要由尚未定价的扩展机会驱动。PCB供应紧张状况可能在2026年持续，其中最激进的厂商(如胜宏科技)可能从ASIC获得额外需求，同时在英伟达供应链中保持稳固地位。</t>
  </si>
  <si>
    <t>Xiaomi</t>
  </si>
  <si>
    <t xml:space="preserve"> 메모리 칩 가격 급등으로 스마트폰 원가 상승 및 판가 전가 가능성 제기 (Reuters)</t>
  </si>
  <si>
    <t>루웨이빙 사장은 웨이보에 “원가 압박이 신제품 가격 책정에 영향을 미쳤다”며 “메모리 칩 가격 상승폭은 예상보다 훨씬 크며 더욱 심화될 수 있다”고 언급</t>
  </si>
  <si>
    <t>https://www.reuters.com/business/media-telecom/chinas-xiaomi-says-surging-memory-chip-prices-push-up-smartphone-costs-2025-10-24/</t>
  </si>
  <si>
    <t>빅테크</t>
  </si>
  <si>
    <t xml:space="preserve"> AI 데이터센터 붐에 부채 1.4조 달러로 확대 (Nikkei Asia)</t>
  </si>
  <si>
    <t>AI 인프라 증설과 전력</t>
  </si>
  <si>
    <t xml:space="preserve"> 부지 투자 급증으로 빅테크의 총부채가 1.4조 달러 수준까지 확대됐다는 분석. 장기 채권 및 프로젝트 파이낸싱 비중도 상승</t>
  </si>
  <si>
    <t>https://asia.nikkei.com/business/technology/ai-data-center-boom-pushes-tech-giants-debt-to-1.4tn</t>
  </si>
  <si>
    <t>[한투증권 박상현/홍예림] 전기전자 In-depth: AI PCB 체리피킹</t>
  </si>
  <si>
    <t>* 텔레그램 채널: https://t.me/TechBrayden</t>
  </si>
  <si>
    <t>* 보고서 원문: https://alie.kr/G3EAPux</t>
  </si>
  <si>
    <t>● 빅테크 AI 인프라 투자는 앞으로 더 확대될 것</t>
  </si>
  <si>
    <t>- 지난 3년간의 전례없는 CAPEX 확대에도 불구하고 빅테크가 보유한 AI 인프라는 현재의 AI 수요(사용자수 X 토큰 처리량)를 감당하기 역부족</t>
  </si>
  <si>
    <t xml:space="preserve"> 에이전틱 AI 본격화로 토큰 처리량이 폭증하면서 AI 수요 증가세는 오히려 가속되고 있음</t>
  </si>
  <si>
    <t>- 빅테크는 자사 데이터센터 확충을 넘어 제 3자인 네오클라우드 기업과 협업하면서까지 적극적으로 AI 인프라를 확보하는 형국</t>
  </si>
  <si>
    <t xml:space="preserve"> 고마진 신규 사업이 창출되는 등의 이유로 최근 3년의 빅테크 실적은 AI 수요 대응을 위한 CAPEX 확대가 결국 수익성 개선으로 이어졌음을 보여주는 중</t>
  </si>
  <si>
    <t>- 이러한 선순환을 근거로 빅테크의 AI 인프라 투자는 2027년에도 꺾이지 않고 지속될 가능성이 클 것</t>
  </si>
  <si>
    <t>● VR200용 메모리</t>
  </si>
  <si>
    <t xml:space="preserve"> ASIC 등 AI 기판 기업 수혜 예상</t>
  </si>
  <si>
    <t xml:space="preserve"> FPCB</t>
  </si>
  <si>
    <t xml:space="preserve"> 레거시 메모리용 BOC 등으로 구성되어 있었기 때문. 그러나 2026년부터는 AI 인프라 사이클의 수혜가 더 많은 국내 기판 기업으로 확장될 것</t>
  </si>
  <si>
    <t xml:space="preserve"> 엔비디아의 차세대 플랫폼 Vera Rubin부터 적용되는 SoCAMM2</t>
  </si>
  <si>
    <t xml:space="preserve"> GDDR7 등 신규 메모리 출현 효과. 이는 모듈 PCB</t>
  </si>
  <si>
    <t xml:space="preserve"> GDDR 패키지 기판 등의 시장 확대를 의미. 심텍</t>
  </si>
  <si>
    <t xml:space="preserve"> 티엘비 등의 수혜를 예상. 둘째</t>
  </si>
  <si>
    <t xml:space="preserve"> 비(非)엔비디아 진영의 ASIC</t>
  </si>
  <si>
    <t xml:space="preserve"> GPU 생산이 확대되고 있음. 2026년은 엔비디아 의존도를 최소화하기 위한 빅테크의 노력이 본격적으로 가시화되는 해가 될 것. 이는 이수페타시스</t>
  </si>
  <si>
    <t xml:space="preserve"> 대덕전자의 수혜로 이어질 것</t>
  </si>
  <si>
    <t>● 밸류에이션 지평을 2027년까지 확대</t>
  </si>
  <si>
    <t xml:space="preserve"> 티엘비</t>
  </si>
  <si>
    <t xml:space="preserve"> 이수페타시스</t>
  </si>
  <si>
    <t xml:space="preserve"> 대덕전자의 YTD 주가 상승률은 10/24일 종가 기준 423.8%</t>
  </si>
  <si>
    <t xml:space="preserve"> 128.4% 순</t>
  </si>
  <si>
    <t>- 그러나 주가가 단기간 급등한 것 외에 실적 관점에서의 우려는 없음. AI 인프라 사이클은 2027년에도 꺾이지 않을 것이고</t>
  </si>
  <si>
    <t xml:space="preserve"> VR200부터 적용될 신규 메모리</t>
  </si>
  <si>
    <t xml:space="preserve"> 비엔비디아 진영의 약진 등 기판 기업의 성장 모멘텀은 명확</t>
  </si>
  <si>
    <t xml:space="preserve"> 층수 증가 등을 촉진하면서 기판 제조 공정수(Step)도 늘어나고 있음. 이는 공정 캐파 잠식을 의미하며</t>
  </si>
  <si>
    <t xml:space="preserve"> 기판 수급 상황이 공급사에게 유리한 방향으로 전개될 것임을 시사</t>
  </si>
  <si>
    <t xml:space="preserve"> 밸류에이션의 지평을 2027년까지 넓혀도 좋다는 의견. 주가 상승여력을 고려한 선호도는 심텍</t>
  </si>
  <si>
    <t xml:space="preserve"> 대덕전자</t>
  </si>
  <si>
    <t xml:space="preserve"> 이수페타시스 순</t>
  </si>
  <si>
    <t>[하나/에너지화학/윤재성] Weekly Monitor: 대러 제재 강화가 주가 반등의 트리거</t>
  </si>
  <si>
    <t>▶️ 보고서: https://bit.ly/49leyo8</t>
  </si>
  <si>
    <t>[총평]</t>
  </si>
  <si>
    <t>▶️ 정제마진 13.0$/bbl(WoW -0.7$)</t>
  </si>
  <si>
    <t xml:space="preserve"> 석유화학 혼조 입니다.</t>
  </si>
  <si>
    <t>▶️ Top Picks는 S-Oil</t>
  </si>
  <si>
    <t xml:space="preserve"> 대한유화</t>
  </si>
  <si>
    <t xml:space="preserve"> KCC</t>
  </si>
  <si>
    <t xml:space="preserve"> 금호석유화학</t>
  </si>
  <si>
    <t xml:space="preserve"> 롯데정밀화학 입니다.</t>
  </si>
  <si>
    <t>[대러 제재 강화가 주가 반등의 트리거]</t>
  </si>
  <si>
    <t>▶️ 미국은 10/23일 러시아 석유업체 Lukoil과 Roseneft를 제재 대상으로 지정. 해당 회사의 정유 자회사도 대상. 미국은 러시아 및 이란의 원유를 조달하는 중국에 대해서도 제재 중. 중국 원유 수입량의 9%를 차지하는 Rizhao Shihua 원유수입 터미널과 일부 선박이 최근 블랙리스트 올라</t>
  </si>
  <si>
    <t>▶️ 10/23일 EU는 19차 대러 제재 패키지 합의. 해당 패키지는 1) 중국 석유관련 기업 4군데가 포함(독립 정유사 2군데) 2) 러시아산 LNG 수입 전면 금지 3) 러시아 국영 에너지 기업인 Roseneft와 Gazprom Neft와의 거래 금지</t>
  </si>
  <si>
    <t>▶️ 영국은 Top 2 석유업체 Lukoil</t>
  </si>
  <si>
    <t xml:space="preserve"> Roseneft와 러시아 원유를 조달하는 정유업체 Shandong Youlong PC와 항만업체 제재</t>
  </si>
  <si>
    <t>▶️ 트럼프는 모디 총리와의 직접 통화를 통해 인도가 러시아산 원유 구매를 축소하기로 합의했고</t>
  </si>
  <si>
    <t xml:space="preserve"> 인도 정유업계 고위 관계자들은 더 이상 러시아산 원유 수입을 이어가는 것이 불가능해졌다고 밝혀. 트럼프는 다음 주 열리는 APEC 회담에서 시진핑과 함께 중국의 러시아산 원유 구매 문제를 논의할 계획</t>
  </si>
  <si>
    <t>▶️ 미국의 SPR 100만bbl 매입 소식과 러시아 석유업체 제재 등으로 유가는 WTI 60$/bbl 탈환</t>
  </si>
  <si>
    <t>▶️ Roseneft와 Lukoil은 러시아 원유 수출량(해상 운송 기준) 약 400만b/d의 절반 가량 차지. 중국은 약 140만b/d</t>
  </si>
  <si>
    <t xml:space="preserve"> 인도는 약 100만b/d의 러시아산 원유를 해상으로 수입해 당장 두 국가의 원유 조달과 정제설비 가동 차질 발생 가능성 높아</t>
  </si>
  <si>
    <t>▶️ 결론: 1) 대러 제재 강화로 유가 하락 가능성 제한적 2) 인도/중국은 저렴한 원가 조달 우위가 소멸될 것 3) 반면</t>
  </si>
  <si>
    <t xml:space="preserve"> 중동산 원유 수요 증가로 인한 OPEC+의 빠른 감산 완화는 아시아향 OSP 하향 요인. 한국업체의 조달 원가 낮아질 것 4) 지난 4년 간 아시아 내에서 원가 열위였던 한국 정유/화학 업체들의 원가 경쟁력 회복 국면 진입 5) 정유/석유화학 업체 실적/주가 Bottom Out 예상</t>
  </si>
  <si>
    <t>** 하나증권/에너지화학/윤재성</t>
  </si>
  <si>
    <t>attery Weekly 이배속 - 하나증권 2차전지 김현수</t>
  </si>
  <si>
    <t xml:space="preserve"> 홍지원]</t>
  </si>
  <si>
    <t>'ESS 키워드에 집중'</t>
  </si>
  <si>
    <t>자료링크 : https://vo.la/IVuZwbj</t>
  </si>
  <si>
    <t>▶️ 데이터 포인트 해석 및 투자 전략 : LG에너지솔루션과 중소형주</t>
  </si>
  <si>
    <t>- 테슬라의 3분기 ESS 설치량은 12.5GWh로</t>
  </si>
  <si>
    <t xml:space="preserve"> YoY +81%</t>
  </si>
  <si>
    <t xml:space="preserve"> QoQ +30% 증가했다. 3분기까지 누적 설치량은 32.5GWh로</t>
  </si>
  <si>
    <t xml:space="preserve"> YoY +60% 증가했다. 미국의 Green Backlash 기조 속에서도 건설 기간이 짧은 재생에너지원에 대한 수요 증가</t>
  </si>
  <si>
    <t xml:space="preserve"> 데이터센터의 부하 조정 수요 증가가 맞물리며 ESS 설치 수요 역시 지속 증가하고 있다.</t>
  </si>
  <si>
    <t>- 북미 + LFP + ESS 키워드에 가장 부합하는 기업은 LG에너지솔루션과 엘앤에프다. 2026년 4분기부터는 삼성SDI도 관련 수혜가 시작된다. 특히 셀 메이커들은 AMPC로 인한 추가 이익이 있다는 점에서 관련 수혜가 더 크다. 해당 기업들의 경우 2027년부터는 전기차의 부진을 ESS로 상당부분 메꿀 수 있을 것으로 판단한다.</t>
  </si>
  <si>
    <t xml:space="preserve"> 이들 역시 전기차 시황 부진으로 인해 2026년 실적 전망에 대한 리스크가 여전히 존재한다는 점에서 한계가 있다. 그러나 2026년 실적 가이던스가 제시되는 2026년 1월 말 이전까지는 단기 악재(전기차)보다 미래 기대감(ESS)에 주가가 더 민감하게 반응할 가능성이 높다. 배터리 섹터 버블이 한창이던 시기에는 선제적인 매도로 리스크 대응이 필요했다면 지금은 2년만의 반등 국면이므로 short으로 대응하는 것이 더 리스크가 크다고 판단한다.</t>
  </si>
  <si>
    <t>- 이에 수급 논리까지 더해지고 있다. 시가총액 1</t>
  </si>
  <si>
    <t>000조에 달하는 반도체 Top 2를 기관들이 수급 rule로 인해 추가 매수하기 어려운 상황에서</t>
  </si>
  <si>
    <t xml:space="preserve"> 앞서 언급한 ESS 논리가 맞물리며 당분간은 배터리로의 수급 이동세가 지속될 가능성이 높다.</t>
  </si>
  <si>
    <t xml:space="preserve"> 2분기 실적발표 당시 새롭게 확인한 ESS 성장 근거를 바탕으로 도출했던 트레이딩 밴드의 최상단(105조원)에 도달했다는 점에서 단기 상승 탄력은 둔화될 수 있다. 다만</t>
  </si>
  <si>
    <t xml:space="preserve"> ESS 수혜 가장 크다는 점 고려할 때 주가 하방 리스크 역시 제한적이다. LG에너지솔루션은 시장 비중만큼 채워두되 추가 엣지는 ESS 수혜가 있으면서 주가 상승 여력 남아있는 중소형주에서 찾는 것이 적절하다. 엘앤에프는 여전히 상승 여력 남아있다고 판단된다. 이외 LFP 관련 제품군 보유한 부품 및 소재 중소형 주들 역시 추가 기회가 있을 것으로 판단한다(관련 종목 : 한중엔시에스</t>
  </si>
  <si>
    <t xml:space="preserve"> 탑머티리얼 등).</t>
  </si>
  <si>
    <t>▶️ Energy : BNEF</t>
  </si>
  <si>
    <t xml:space="preserve"> 2025년 ESS YoY +23% 증가 전망</t>
  </si>
  <si>
    <t>- BNEF는 2025년 글로벌 에너지 저장 용량이 92GW로</t>
  </si>
  <si>
    <t xml:space="preserve"> 전년 대비 23% 증가할 것으로 전망했다.</t>
  </si>
  <si>
    <t xml:space="preserve"> 영국의 182개 Grid ESS 프로젝트 중 20곳에 Tesla 메가팩이 적용되고 있다.</t>
  </si>
  <si>
    <t>- 폭스콘은 중국 허난성 정저우 공장에서 2025년 4분기부터 ESS 양산을 시작할 예정이다.</t>
  </si>
  <si>
    <t>- BlackRock 산하 VENA 그룹은 한국 재생에너지 프로젝트와 재생에너지 연계형 AI 데이터센터에 20조원을 투자할 계획이다.</t>
  </si>
  <si>
    <t>▶️ Car : GM</t>
  </si>
  <si>
    <t xml:space="preserve"> 연간 EPS 가이던스 상향</t>
  </si>
  <si>
    <t>- Tesla 주가는 한 주간 -1.3% 하락했고</t>
  </si>
  <si>
    <t xml:space="preserve"> 미국 전기차 스타트업 주가는 하락했다(Lucid -5.9%</t>
  </si>
  <si>
    <t xml:space="preserve"> Rivian -0.4%). 중국 전기차 기업 주가는 상이했다(Xpeng +2.0%</t>
  </si>
  <si>
    <t xml:space="preserve"> Nio +2.2%</t>
  </si>
  <si>
    <t xml:space="preserve"> Li Auto -2.6%).</t>
  </si>
  <si>
    <t>- GM의 CFO는 현재 전기차 생산의 40%만 수익을 내고 있다고 언급했다. 한편</t>
  </si>
  <si>
    <t xml:space="preserve"> GM의 3Q25 실적은 매출 486억달러(YoY -0%)</t>
  </si>
  <si>
    <t xml:space="preserve"> 영업이익 34억달러(YoY -18%)</t>
  </si>
  <si>
    <t xml:space="preserve"> 전기차 판매 6.7만대(YoY +107%)를 기록했으며</t>
  </si>
  <si>
    <t xml:space="preserve"> 2025년 조정 EPS 가이던스를 기존 8.25~10.00달러에서 9.75~10.50달러로 상향했다. 한편</t>
  </si>
  <si>
    <t xml:space="preserve"> GM은 2028년 출시 예정인 'ESCALADE IQ'에 전방 주시가 필요 없는 자율주행 기술을 탑재할 계획이라고 밝혔다.</t>
  </si>
  <si>
    <t>- Ford는 미시간 공장에서 전기 픽업 트럭 ‘F-150 Lightning’ 생산을 잠정 중단하고</t>
  </si>
  <si>
    <t xml:space="preserve"> 가솔린 및 하이브리드 F-Series를 우선 생산할 예정이다.</t>
  </si>
  <si>
    <t>- Stellantis는 2026년 출시 예정이던 알파로메오 전기차(Giulia EV</t>
  </si>
  <si>
    <t xml:space="preserve"> Stelvio EV) 출시를 연기하고</t>
  </si>
  <si>
    <t xml:space="preserve"> 가솔린 모델을 최소 1년 더 판매할 계획이라고 밝혔다.</t>
  </si>
  <si>
    <t>- 한국 정부는 무공해차 보급 목표를 2026년 28%</t>
  </si>
  <si>
    <t xml:space="preserve"> 2028년 36%</t>
  </si>
  <si>
    <t xml:space="preserve"> 2030년 50%로 상향하고</t>
  </si>
  <si>
    <t xml:space="preserve"> 목표 미달 시 2028년부터 1대당 벌금을 150원에서 300만원으로 인상할 계획이다.</t>
  </si>
  <si>
    <t>- 현대차는 2027년 자체 설계 배터리를 탑재한 EREV를 출시할 계획이다.</t>
  </si>
  <si>
    <t>- 중국승용차연합회(CPCA)에 따르면</t>
  </si>
  <si>
    <t xml:space="preserve"> 2025년 3분기 중국 전기차 시장에서 160Wh/kg 이상 차량 비중은 7%(YoY -4%p)였다.</t>
  </si>
  <si>
    <t>▶️ Cell : DOE</t>
  </si>
  <si>
    <t xml:space="preserve"> 친환경 프로젝트 보조금 철회</t>
  </si>
  <si>
    <t>- 배터리 대형주 3사 합산 유니버스(LGES</t>
  </si>
  <si>
    <t xml:space="preserve"> 삼성SDI</t>
  </si>
  <si>
    <t xml:space="preserve"> SK이노베이션) 주가는 ESS 사업 기대감으로 +13.9% 상승했고(삼성SDI +14.7%</t>
  </si>
  <si>
    <t xml:space="preserve"> LG에너지솔루션 +13.4%</t>
  </si>
  <si>
    <t xml:space="preserve"> SK이노베이션 +15.6%)</t>
  </si>
  <si>
    <t xml:space="preserve"> 코스피 대비 +8.8%p Out-perform했다.</t>
  </si>
  <si>
    <t>- 미국 에너지부(DOE)는 총 7억달러 이상의 배터리 및 친환경 프로젝트 보조금을 철회했다.</t>
  </si>
  <si>
    <t>- GM 회장은 중저가 전기차 시장 경쟁력 확보를 위해 2028년까지 LMR 배터리를 상용화할 계획이라고 밝혔다.</t>
  </si>
  <si>
    <t>- Nvidia가 미국 배터리 재활용 기업 Redwood Materials의 3.5억달러 규모 시리즈 E 투자에 참여했다.</t>
  </si>
  <si>
    <t>- 삼성SDI는 헝가리 괴드 1공장 일부를 '사이드터미널 각형 배터리' 라인으로 전환 중이며</t>
  </si>
  <si>
    <t xml:space="preserve"> 2027년부터 양산 예정이다.</t>
  </si>
  <si>
    <t>▶️Material/Equipment : 탄산리튬 선물가격 상승</t>
  </si>
  <si>
    <t>- 2차전지 소재 합산 유니버스는 한 주간 +14.0% 상승했다. 국내 주요 양극재 기업 주가는 3분기 실적 기대감으로 상승했다(포스코퓨처엠 +25.1%</t>
  </si>
  <si>
    <t xml:space="preserve"> 에코프로비엠 +7.2%</t>
  </si>
  <si>
    <t xml:space="preserve"> 엘앤에프 +20.4%). 중국 소재 기업 주가는 상이했다(Beijing Easpring +3.4%</t>
  </si>
  <si>
    <t xml:space="preserve"> Guangzhou Tinci -0.3%</t>
  </si>
  <si>
    <t xml:space="preserve"> Yunnan Energy -1.1%).</t>
  </si>
  <si>
    <t>- 2025년 10월 23일 중국 광저우 선물거래소에서 탄산리튬 선물 가격은 1kg당 11.2달러를 기록하며 하루 만에 +4.2% 상승했다.</t>
  </si>
  <si>
    <t xml:space="preserve"> 니켈(+0.9%)</t>
  </si>
  <si>
    <t xml:space="preserve"> 코발트(+12.4%)</t>
  </si>
  <si>
    <t xml:space="preserve"> 망간(-0.2%)</t>
  </si>
  <si>
    <t xml:space="preserve"> 알루미늄(+2.9%)</t>
  </si>
  <si>
    <t xml:space="preserve"> 구리(+2.0%)</t>
  </si>
  <si>
    <t xml:space="preserve"> LiPF6(+14.9%)이며</t>
  </si>
  <si>
    <t xml:space="preserve"> 전분기 대비 증감률은 리튬(+0.8%)</t>
  </si>
  <si>
    <t xml:space="preserve"> 니켈(+0.4%)</t>
  </si>
  <si>
    <t xml:space="preserve"> 코발트(+15.8%)</t>
  </si>
  <si>
    <t xml:space="preserve"> 망간(-1.6%)</t>
  </si>
  <si>
    <t xml:space="preserve"> 알루미늄(+5.4%)</t>
  </si>
  <si>
    <t xml:space="preserve"> 구리(+8.3%)</t>
  </si>
  <si>
    <t xml:space="preserve"> LiPF6(+32.7%)다.</t>
  </si>
  <si>
    <t>- 10월 4주 유럽 주요 3국(영국</t>
  </si>
  <si>
    <t xml:space="preserve"> 독일</t>
  </si>
  <si>
    <t xml:space="preserve"> 프랑스) 전력 가격은 평균 79.6유로/MWh로 WoW -2.2% 하락했다. 10월 전력 가격 평균은 80.9유로/MWh로 MoM +5.4% 상승했다.</t>
  </si>
  <si>
    <t>(컴플라이언스 승인을 득함)</t>
  </si>
  <si>
    <t>[포스코퓨처엠 - 하나증권 2차전지 김현수</t>
  </si>
  <si>
    <t>'전구체 및 음극재 가치 단기간에 주가 반영'</t>
  </si>
  <si>
    <t>자료링크 : https://vo.la/xVi0tWY</t>
  </si>
  <si>
    <t>▶️ 3Q25 Review : 평가손실 환입 효과로 수익성 대폭 개선</t>
  </si>
  <si>
    <t>- 포스코퓨처엠 3Q25 연결 실적은 매출 8</t>
  </si>
  <si>
    <t>748억원(YoY -5%</t>
  </si>
  <si>
    <t xml:space="preserve"> QoQ +32%)</t>
  </si>
  <si>
    <t xml:space="preserve"> 영업이익 667억원(YoY +4</t>
  </si>
  <si>
    <t xml:space="preserve"> QoQ +8</t>
  </si>
  <si>
    <t xml:space="preserve"> OPM 7.6%(QoQ +7.5%p))</t>
  </si>
  <si>
    <t xml:space="preserve"> 지배주주순이익 423억원(YoY +1</t>
  </si>
  <si>
    <t xml:space="preserve"> QoQ 흑자전환)으로 시장 기대치 상회했다.</t>
  </si>
  <si>
    <t>- 1) 양극재 부문(매출 비중 58%)의 경우</t>
  </si>
  <si>
    <t xml:space="preserve"> 2분기 당시 3분기로 이연됐던 GM향 제품 출하가 반영되며 부문 매출 QoQ +85% 증가했다. 전년 동기 대비해서는 판가 하락 영향으로 YoY -9% 감소했으나 하락폭이 크게 축소됐다(지난 5개 분기 연속 -30% 이상 감소). 부문 영업이익률은 메탈 가격 반등에 따른 재고 평가 손실 환입 효과로 전분기 대비 크게 개선됐다(10.4%</t>
  </si>
  <si>
    <t xml:space="preserve"> QoQ +15.9%p).</t>
  </si>
  <si>
    <t>- 2) 음극재 부문(매출 비중 3%)은</t>
  </si>
  <si>
    <t xml:space="preserve"> 국내 주요 고객사의 주문이 전분기 대비 크게 감소하며 부문 매출 YoY +3%</t>
  </si>
  <si>
    <t xml:space="preserve"> QoQ -40%로 부진했다. 천연 흑연 부문의 낮은 가동률 지속되며 부문 수익성은 적자 지속됐다.</t>
  </si>
  <si>
    <t>▶️ 4분기 감익 불가피</t>
  </si>
  <si>
    <t>- 4분기 연결 실적은 매출 7</t>
  </si>
  <si>
    <t>553억원(YoY +4%</t>
  </si>
  <si>
    <t xml:space="preserve"> QoQ -14%)</t>
  </si>
  <si>
    <t xml:space="preserve"> 영업이익 122억원(YoY 흑자전환</t>
  </si>
  <si>
    <t xml:space="preserve"> QoQ -82%)로 전분기 대비 이익 감소하나</t>
  </si>
  <si>
    <t xml:space="preserve"> 흑자 기조 지속될 전망이다. 3분기에 발생했던 환입 효과가 4분기에는 소멸하며 분기 이익은 다시 100억원대로 회귀할 전망이다. 최대 고객사인 GM의 연말 재고 조정 과정에서 양극재 출하량이 감소하며 분기 매출도 전분기 대비 감소 불가피하다.</t>
  </si>
  <si>
    <t xml:space="preserve"> 낮아진 전년도 실적 베이스로 인해 이제는 전년 동기 대비 성장세 진입한다는 점에서 의미가 있다. 기대치 하회를 가정하더라도 -30% 내외 감소하던 2025년 상반기보다 대폭 개선된다는 점에서 최악의 상황은 지났다고 판단한다.</t>
  </si>
  <si>
    <t>▶️ 광물 출처 확실한 제품 생산 긍정적이나 최근 10일 사이 해당 가치 반영</t>
  </si>
  <si>
    <t>- 고점 대비 -86%까지 주가 하락했던 포스코퓨처엠의 반등 조건 중 하나는 전구체 적격 양극재의 생산이었다. 미국의 에너지 안보 공급망 구축 과정에서 광물 출처가 명확한 양극재를 생산할 수 있다는 점은 상당한 기회요인이다. 이번 3분기부터 본격적인 전구체 생산이 시작되며 향후 가파른 실적 성장이 전망된다.</t>
  </si>
  <si>
    <t>- 올해 4.7만톤인 양극재 생산량은 27년까지 최소 8.3만톤에서 최대 14.1만톤까지 증가할 전망이다. 2년간 최대 3배 증가다. 양극재 판가 20% 상승(리튬가격 40% 이상 상승)을 가정 시 예상 매출은 6조원이며</t>
  </si>
  <si>
    <t xml:space="preserve"> 예상 지배주주순익은 0.3조원이다. Target P/E 40배(실적이 정상화되고 EPS추정치가 지속 상승하던 2021년~2023년 평균 P/E) 적용 시 13.3조원의 가치가 도출된다.</t>
  </si>
  <si>
    <t>- 음극재의 경우 현재 연간 2.2만톤인 생산량이 3년내 5만톤까지 증가함을 가정하고 P/E 60배 적용했을 때 도출되는 가치가 0.8조원이다. 음극재는 매우 중요한 소재이고</t>
  </si>
  <si>
    <t xml:space="preserve"> 에너지 안보자산으로써 국가 안보에 크게 기여하겠으나 기업가치 증가에 기여하는 부분은</t>
  </si>
  <si>
    <t xml:space="preserve"> 높은 멀티플로 보상을 해주더라도 한계가 있다.</t>
  </si>
  <si>
    <t>- 포스코퓨처엠은 국내 기업 중 공급망 수직계열화 추진 속도 가장 빠르다는 점에서 매우 매력적인 기업이다. 이를 고려해 전구체 적격 양극재 및 음극재 생산 본격화 되는 3분기 이후 주가 상승 기회 있을 것으로 기대했으나 연휴 직후 10거래일만에 +70% 상승하며 이를 모두 반영해버렸다. 상기 전구체 및 음극재 가치 반영해 목표 주가를 198</t>
  </si>
  <si>
    <t>000원으로 30% 상향조정할 수 있었으나</t>
  </si>
  <si>
    <t xml:space="preserve"> 아쉽게도 투자의견은 중립을 유지한다.</t>
  </si>
  <si>
    <t xml:space="preserve"> 상기한 목표주가는 2026년 실적 기준 P/E 322배라는 점에서 Valuation으로 설명할 수 있는 매수 논리는 부재하다. 수급 논리에 기반한 상승을 펀더멘탈 논리로 둔갑시켜 살 이유를 찾으려 할 때 리스크가 커질 수 있음을 염두에 둬야한다. 시총 20조원 수준까지의 상승은 펀더멘탈 논리로 설명 가능하나 이후 추가 상승으로 인해 다소 부담스러운 가격대에 진입했다고 판단한다.</t>
  </si>
  <si>
    <t>[메리츠증권 전기전자/IT부품 양승수]</t>
  </si>
  <si>
    <t>해성디에스(195870) : DDR5에 이어 리드프레임도 업사이클 본격화</t>
  </si>
  <si>
    <t>- 해성디에스의 적정주가를 기존 33</t>
  </si>
  <si>
    <t>000원에서 60</t>
  </si>
  <si>
    <t>- ‘26년 영업이익 추정치 24.9% 상향과 Target Multiple을 기존 10.7배 → 15.5배(국내 기판 3사 평균 멀티플 30% 할인 적용)로 상향한 점을 동시에 반영</t>
  </si>
  <si>
    <t>- 동사는 리드프레임 매출 비중이 높고(약 70%)</t>
  </si>
  <si>
    <t xml:space="preserve"> 패키지 기판에서도 공법 차이로 인해 신제품 전환 속도가 다소 지연된다는 점에서</t>
  </si>
  <si>
    <t xml:space="preserve"> 역사적으로 국내 주요 기판 업체 대비 약 30% 전후의 멀티플 디스카운트가 적용</t>
  </si>
  <si>
    <t xml:space="preserve"> 멀티플 격차가 과거 평균 대비 크게 확대</t>
  </si>
  <si>
    <t xml:space="preserve"> 밸류에이션 리레이팅을 통해 멀티플 격차가 점진적으로 축소될 것으로 판단</t>
  </si>
  <si>
    <t>- 최근 대만 리드프레임 3사 모두 주요 원자재 가격 상승을 근거로 고객사에 가격 인상을 발표</t>
  </si>
  <si>
    <t>- 글로벌 2위 리드프레임 업체인 동사 역시 가격 인상에 동참할 가능성이 높다고 판단</t>
  </si>
  <si>
    <t xml:space="preserve"> ‘26년 리드프레임 매출액 추정치를 15% 상향</t>
  </si>
  <si>
    <t xml:space="preserve"> 안정화되면 심지어 중국 업체 대비에서도 압도적인 원가 경쟁력 확보가 가능</t>
  </si>
  <si>
    <t xml:space="preserve"> 내년 중에는 해외 고객사로의 공급 확대도 기대</t>
  </si>
  <si>
    <t>- DDR5는 지난 리포트에서 제시했던 ‘26년 매출액 1</t>
  </si>
  <si>
    <t>143억 원(+107.8% YoY) 추정치를 그대로 유지</t>
  </si>
  <si>
    <t xml:space="preserve"> 밸류에이션 관점에서 동사의 투자 매력도가 높다고 판단</t>
  </si>
  <si>
    <t>https://vo.la/FYZjj0F (링크)</t>
  </si>
  <si>
    <t>📮[메리츠증권 전기전자/IT부품 양승수]</t>
  </si>
  <si>
    <t>이수페타시스(007660): 구체화되는 TPU 밸류체인의 매력</t>
  </si>
  <si>
    <t>(ft TPU-as-a-service)</t>
  </si>
  <si>
    <t>- 3Q25E 매출액과 영업이익 추정치를 각각 2.6%</t>
  </si>
  <si>
    <t xml:space="preserve"> 6.9% 상향</t>
  </si>
  <si>
    <t>- 영업이익 기준 538억원(+107.4% YoY)으로 시장 컨센서스(470억원) 14.3% 상회 전망</t>
  </si>
  <si>
    <t>- 1) G사향 7세대용 MLB 신제품 공급 확대 2) 800G향 제품의 상반기 대비 수율 개선 3) 중국 법인 O사향 서버 제품 양산 효과</t>
  </si>
  <si>
    <t xml:space="preserve"> 내년 다중적층 제품 적용 시 추가적인 ASP 상승 전망</t>
  </si>
  <si>
    <t xml:space="preserve"> 내부 AI 워크로드를 처리하는 데만 활용되어 왔으나 최근 추론시장의 성장과 함께 비용 경쟁력을 앞세워 외부 고객을 대상으로 한 서비스 제공을 확대</t>
  </si>
  <si>
    <t>- 대표적으로 최근 Anthropic과 최대 100만 개 규모의 TPU 공급 계약을 체결했으며</t>
  </si>
  <si>
    <t xml:space="preserve"> 계약 금액은 수백억 달러 수준으로 추정</t>
  </si>
  <si>
    <t>- GPU 기준 데이터센터 내 하드웨어 비중은 전체 비용의 약 70% 내외로 파악되고 있으며</t>
  </si>
  <si>
    <t xml:space="preserve"> TPU는 GPU 대비 단가가 낮다는 점을 감안해 하드웨어 비중을 50% 전후로 가정</t>
  </si>
  <si>
    <t>- 이를 탕으로 MLB 기판의 BoM Cost 비중(약 7%)과 동사의 G사 내 점유율(40~50%)를 적용하면</t>
  </si>
  <si>
    <t xml:space="preserve"> 관련 계약 금액의 약 1.1~1.4%가 동사 신규 매출로 추가되는 구조로 추정</t>
  </si>
  <si>
    <t>- 이번 계약을 통해서만 동사 입장에서는 1</t>
  </si>
  <si>
    <t>000억원 이상의 신규 수요가 기대되며</t>
  </si>
  <si>
    <t xml:space="preserve"> 중장기적으로도 G사의 외부 서비스 제공 확대에 따라 지속적인 수요 증가세가 이어질 전망</t>
  </si>
  <si>
    <t xml:space="preserve"> 동사에 대한 적정주가를 실적 추정치 상향을 반영해 105</t>
  </si>
  <si>
    <t>000원으로 제시</t>
  </si>
  <si>
    <t>- 당사는 1) 본격적인 세대 전환 사이클에 진입했다는 점 2) 외부 판매 확대에 따른 TPU 수요 전망 상향이 기대된다는 점을 근거로 TPU 밸류체인에 대한 최선호주 의견을 유지 중</t>
  </si>
  <si>
    <t xml:space="preserve"> 글로벌 TPU 밸류체인의 핵심 기업인 동사의 투자 매력도가 지속적으로 부각될 것으로 전망</t>
  </si>
  <si>
    <t>https://vo.la/DEbRhRK (링크)</t>
  </si>
  <si>
    <t>📮 [메리츠증권 철강/금속 장재혁]</t>
  </si>
  <si>
    <t>안녕하세요</t>
  </si>
  <si>
    <t xml:space="preserve"> 메리츠증권 장재혁입니다. 고려아연 경영권분쟁 현황 및 3Q25 Preview 업데이트 드립니다.</t>
  </si>
  <si>
    <t>▶️ 2027년 주주총회가 끝났을 때</t>
  </si>
  <si>
    <t xml:space="preserve"> 이사회 구도는?</t>
  </si>
  <si>
    <t>- 상법 개정으로 인해 2027년부터 분리선임(3%룰 적용)하는 이사의 수가 기존 1명에서 2명으로 늘어나면서</t>
  </si>
  <si>
    <t xml:space="preserve"> 최윤범 회장 측에게 보다 유리한 환경이 조성</t>
  </si>
  <si>
    <t xml:space="preserve"> 2026년</t>
  </si>
  <si>
    <t xml:space="preserve"> 2027년 주주총회에 따른 시나리오가 4가지로 좁혀짐</t>
  </si>
  <si>
    <t>- 2026년 3월 주주총회 결과(2025년 연말 주주명부폐쇄일 기준 양측 지분율에 따른 집중투표제)가 최윤범 회장의 경영권 방어 가능 여부의 핵심</t>
  </si>
  <si>
    <t xml:space="preserve"> 일부 주주가 양측 개별 후보들에게 표를 분산시킬 가능성이 있기 때문에 내년 주주총회의 결과는 예측하기 힘듦</t>
  </si>
  <si>
    <t>- 내년 3월 주주총회의 결과가 나오기 이전까지 낮은 유통물량의 환경에서 높은 주가 변동성은 지속될 것으로 예상</t>
  </si>
  <si>
    <t>▶️ 3Q25 컨센서스 부합</t>
  </si>
  <si>
    <t xml:space="preserve"> 4Q25 호실적 예상</t>
  </si>
  <si>
    <t>- 3Q25 연결영업이익은 2</t>
  </si>
  <si>
    <t>626억원(+1.4% QoQ</t>
  </si>
  <si>
    <t xml:space="preserve"> +75.1% YoY)으로 컨센서스에 부합 예상</t>
  </si>
  <si>
    <t xml:space="preserve"> 희소금속 가격과 평균환율이 소폭 하락한 점이 부정적</t>
  </si>
  <si>
    <t>- 9월부터 상승 중인 환율과 귀금속 가격은 4Q25 실적에 긍정적인 요인</t>
  </si>
  <si>
    <t>- 4Q25 연결영업이익은 3</t>
  </si>
  <si>
    <t>049억원(QoQ +16.1%</t>
  </si>
  <si>
    <t xml:space="preserve"> YoY +153.5%)</t>
  </si>
  <si>
    <t xml:space="preserve"> 별도영업이익은 3</t>
  </si>
  <si>
    <t>007억원(QoQ -1.5%</t>
  </si>
  <si>
    <t xml:space="preserve"> YoY+46.4%)을 예상</t>
  </si>
  <si>
    <t xml:space="preserve"> 이차전지소재 (황산니켈 등) 가격 상승 등은 켐코(KEMCO)</t>
  </si>
  <si>
    <t xml:space="preserve"> 페달포인트 (Pedal Point) 등의 3</t>
  </si>
  <si>
    <t xml:space="preserve"> 4분기 실적 개선 요인으로 작용할 전망</t>
  </si>
  <si>
    <t>보고서 링크: https://home.imeritz.com/include/resource/research/WorkFlow/20251021114723595K_02.pdf</t>
  </si>
  <si>
    <t xml:space="preserve"> 메리츠증권 장재혁입니다.</t>
  </si>
  <si>
    <t>10월 23일 중국 4중전회가 폐막하고 ‘15차 5개년계획 건의안’이 발표된 데 이어</t>
  </si>
  <si>
    <t xml:space="preserve"> 10월 24일 공업정보화부가 ‘철강산업 용량교체 이행방안 개정안 초안’을 발표했습니다. 두 문서를 연계하여 중국 철강산업에 대한 시사점을 업데이트 드립니다.</t>
  </si>
  <si>
    <t>결론적으로</t>
  </si>
  <si>
    <t xml:space="preserve"> ‘2025년 철강 용량교체 이행방안’의 보다 촘촘한 규제를 고려할 때</t>
  </si>
  <si>
    <t xml:space="preserve"> 중국 철강 산업은 점진적인 감산 국면에 진입할 가능성이 높다고 전망합니다. 한국의 주요 철강 기업은 현재 중국/일본산 열연강판 반덤핑관세 부과로 인하여 점진적 실적 개선을 앞두고 있으며</t>
  </si>
  <si>
    <t xml:space="preserve"> 한미 무역협상 또한 타결 가시성이 높아지는 국면입니다. 중국 철강산업 교체용량 이행방안이 보다 긍정적으로 발표되었기 때문에 업종 전반에 대하여 긍정적인 투자의견을 유지합니다.</t>
  </si>
  <si>
    <t>▶️ 15차 5개년 계획과 철강 용량교체 방안 Update 및 연결짓기</t>
  </si>
  <si>
    <t>1. 고부가</t>
  </si>
  <si>
    <t>15차 5개년계획: ‘고품질발전’과 ‘질적생산력’으로 첨단산업 수요 창출 의도. 부동산 또한 ‘고품질 발전’으로 전환 요구.</t>
  </si>
  <si>
    <t>신규 철강 용량교체 방안: 기타지역 생산능력 교체비율을 1.25:1 → 1.5:1로 상향. 신규 설비투자의 기회비용을 막대하게 상향. 신규 설비투자를 감행하는 기업의 고부가 제품 생산을 유도</t>
  </si>
  <si>
    <t>2. 경영효율화</t>
  </si>
  <si>
    <t>15차 5개년계획: ‘제도 개혁’을 통해 ‘모든 경제주체의 활력’을 제고. 시장원리에 기반한 효율화</t>
  </si>
  <si>
    <t xml:space="preserve"> 산업집중도 제고를 의미.</t>
  </si>
  <si>
    <t>신규 철강 용량교체 방안: 철강산업 M&amp;A 가속화</t>
  </si>
  <si>
    <t xml:space="preserve"> 소규모 기업 퇴출을 위한 조항 포함.</t>
  </si>
  <si>
    <t>1) ‘지표 거래’ 시장 폐쇄: 2027년부터 실질적 M&amp;A를 통하지 않고서는 기업간 생산능력을 사고파는 ‘지표 거래’를 원천 금지</t>
  </si>
  <si>
    <t>2) M&amp;A 인센티브 축소: M&amp;A 인센티브(1.1:1)를 폐지하고 1.25:1로 강화</t>
  </si>
  <si>
    <t>3. 탈탄소</t>
  </si>
  <si>
    <t>15차 5개년계획: ‘전면적 녹색 전환’</t>
  </si>
  <si>
    <t xml:space="preserve"> ‘탄소 피크/탄소 중립’ 목표 달성</t>
  </si>
  <si>
    <t xml:space="preserve"> ‘신형 에너지 체계’ 구축을 명시</t>
  </si>
  <si>
    <t>신규 철강 용량교체 방안: 기존의 6가지 생산능력 감축 면제 조건에서 예외를 모두 삭제. 1:1 교체(감축 면제)는 이제 1) 고로 → 전기로 전환 2) 탄소 60% 이상 감축하는 수소 야금 등 저탄소 기술 도입에만 허용</t>
  </si>
  <si>
    <t>보고서 링크: https://home.imeritz.com/include/resource/research/WorkFlow/20251024161108530K_02.pdf</t>
  </si>
  <si>
    <t>POSCO홀딩스</t>
  </si>
  <si>
    <t xml:space="preserve"> 현대제철 3Q25 preview: https://home.imeritz.com/include/resource/research/WorkFlow/20251014201549900K_02.pdf</t>
  </si>
  <si>
    <t xml:space="preserve"> 메리츠증권 장재혁입니다. POSCO홀딩스 3Q25 실적발표 컨퍼런스콜 업데이트 드립니다.</t>
  </si>
  <si>
    <t>[전사 연결실적]</t>
  </si>
  <si>
    <t>매출액: 17조 2</t>
  </si>
  <si>
    <t>610억 원 (QoQ -1.7%)</t>
  </si>
  <si>
    <t>영업이익: 6</t>
  </si>
  <si>
    <t>390억 원 (QoQ +5.3%</t>
  </si>
  <si>
    <t xml:space="preserve"> OPM 3.7%)</t>
  </si>
  <si>
    <t>철강 부문:</t>
  </si>
  <si>
    <t>영업이익 6</t>
  </si>
  <si>
    <t>560억 원 (QoQ +7.5%</t>
  </si>
  <si>
    <t xml:space="preserve"> OPM 4.5%)</t>
  </si>
  <si>
    <t xml:space="preserve"> 원료비 하락 및 생산·판매량 증가 로 이익이 증가</t>
  </si>
  <si>
    <t>이차전지소재 부문:</t>
  </si>
  <si>
    <t>영업손실 420억 원 (QoQ 적자 축소</t>
  </si>
  <si>
    <t xml:space="preserve"> OPM -4.2%)</t>
  </si>
  <si>
    <t xml:space="preserve"> 가동률 상승 및 재고평가 환입 등으로 적자 폭이 크게 축소</t>
  </si>
  <si>
    <t>인프라 부문:</t>
  </si>
  <si>
    <t>영업이익 1</t>
  </si>
  <si>
    <t>450억 원 (QoQ -37.0%</t>
  </si>
  <si>
    <t xml:space="preserve"> OPM 1.1%)</t>
  </si>
  <si>
    <t xml:space="preserve"> 건축 대손상각비</t>
  </si>
  <si>
    <t xml:space="preserve"> 해외 프로젝트 비용 등이 반영되어 이익이 감소</t>
  </si>
  <si>
    <t>- 포스코이앤씨의 일회성비용은 3Q25 약 2</t>
  </si>
  <si>
    <t>800억원</t>
  </si>
  <si>
    <t xml:space="preserve"> 4Q25 약 2</t>
  </si>
  <si>
    <t>300억원 반영 예정</t>
  </si>
  <si>
    <t>[구조개편 경과]</t>
  </si>
  <si>
    <t>- 3분기 중 7개 구조조정</t>
  </si>
  <si>
    <t xml:space="preserve"> 4천억원 현금 창출</t>
  </si>
  <si>
    <t>- '24년 초부터 시작됐던 구조조정은 총 63건</t>
  </si>
  <si>
    <t xml:space="preserve"> 1.4조원 현금 창출</t>
  </si>
  <si>
    <t>[Q&amp;A]</t>
  </si>
  <si>
    <t>1. 철강 업황 관련</t>
  </si>
  <si>
    <t xml:space="preserve"> 4분기 열연 AD관세 영향</t>
  </si>
  <si>
    <t>- 4분기 업황을 열연강판 관세로 바로 연결짓기는 어려움</t>
  </si>
  <si>
    <t>- 8-9월 잠정관세 부과 이전 재고가 많아짐</t>
  </si>
  <si>
    <t>- 재고가 4분기 이전 소진 전망</t>
  </si>
  <si>
    <t xml:space="preserve"> 11-12월 점진적으로 긍정적 영향 예상</t>
  </si>
  <si>
    <t>2. 내년 철강 업황 방향성</t>
  </si>
  <si>
    <t>- 전세계적으로 1-2% 성장 전망 (인도</t>
  </si>
  <si>
    <t xml:space="preserve"> 동남아 위주)</t>
  </si>
  <si>
    <t xml:space="preserve"> AD관세로 인한 가격 상승</t>
  </si>
  <si>
    <t xml:space="preserve"> 수출의존하는 국내 고객사들은 부정적이겠으나 전체적으로는 보합</t>
  </si>
  <si>
    <t>3. 내년 탄소 관련 비용</t>
  </si>
  <si>
    <t xml:space="preserve"> EU CBAM 시행</t>
  </si>
  <si>
    <t xml:space="preserve"> 탄소배출거래제 4기(3기와 달리) 비용 증가의 대응 방안</t>
  </si>
  <si>
    <t>- '26년부터 시행</t>
  </si>
  <si>
    <t xml:space="preserve"> 인증서비용 발생 시작. 최근 간소화법안 확정</t>
  </si>
  <si>
    <t xml:space="preserve"> 인증서 예치의무는 '27년으로 연기</t>
  </si>
  <si>
    <t>- 무상할당 벤치마크가 점진적 감소해서 '34년 완전 폐지. 인증서 구매 부담은 매년 조금씩 늘어남</t>
  </si>
  <si>
    <t xml:space="preserve"> 불확실성 존재</t>
  </si>
  <si>
    <t xml:space="preserve"> EU 집행위와 지속 소통 예정</t>
  </si>
  <si>
    <t>- 4기 배출권할당제 기준</t>
  </si>
  <si>
    <t xml:space="preserve"> '27년부터 배출권 부족해서 구매해야 할 것으로 예상. 이에 따라 비용부담 최소화 위해 광양 전기로를 내년부터 가동할 예정. 추가로 고로-전로 공정에서도 많은 노력 할 것</t>
  </si>
  <si>
    <t>4. 포스코인터내셔널</t>
  </si>
  <si>
    <t xml:space="preserve"> 알래스카 LNG 사업 참여 검토 현실화 시 포스코 연간 판매량 규모</t>
  </si>
  <si>
    <t>- 참여하는 경우 철강 공급량 30만톤</t>
  </si>
  <si>
    <t xml:space="preserve"> '26~'28년 예상 (파이프라인 및 LNG터미널용 강재)</t>
  </si>
  <si>
    <t>5. 중장기 철강 사업 전략 방향성</t>
  </si>
  <si>
    <t xml:space="preserve"> 수요가 늘어나는 국가에 설비를 증설하는 게 방향</t>
  </si>
  <si>
    <t xml:space="preserve"> 전기강판이나 내년 가동 예정인 전기로 등 투자 지속 중</t>
  </si>
  <si>
    <t xml:space="preserve"> 이에 상응하는 성장 투자를 발굴해서 국내 고객사와 성장하는 방향으로 갈 것</t>
  </si>
  <si>
    <t xml:space="preserve"> 미국 등 성장 시장에서 기회 모색 단계</t>
  </si>
  <si>
    <t>6. 향후 투자 우선순위 (수소환원제철</t>
  </si>
  <si>
    <t xml:space="preserve"> 인도/미국 증설</t>
  </si>
  <si>
    <t xml:space="preserve"> 이차전지</t>
  </si>
  <si>
    <t xml:space="preserve"> HMM 등)</t>
  </si>
  <si>
    <t xml:space="preserve"> 최우선순위</t>
  </si>
  <si>
    <t xml:space="preserve"> M&amp;A 기회 모니터링 중</t>
  </si>
  <si>
    <t>7. 중국 배터리 및 이차전지소재 구조조정 등이 한국 업체에 미치는 영향</t>
  </si>
  <si>
    <t xml:space="preserve"> 내년 업황 전망</t>
  </si>
  <si>
    <t>- 올해는 리튬 8-9달러. 리튬정제업체 수익 거의 불가능</t>
  </si>
  <si>
    <t>- 내년에는 모든 메이커가 10달러 이상을 준비 중. 어떤 업체는 내년 4분기 15달러 전망.</t>
  </si>
  <si>
    <t xml:space="preserve"> 올해보다 개선 예상. 양극재는 EV 이외 ESS 품목에서 개선 가능</t>
  </si>
  <si>
    <t>8. 이르면 4분기부터 원료비 하락이 끝나는 국면. 3분기 또한 판가와 원료가 동시 하락으로 스프레드 유지. 내년 1분기부터 원료가 하락이 없어도 제품가 인상을 통한 스프레드 확대가 가능한지?</t>
  </si>
  <si>
    <t>- 본격 스프레드 개선은 1Q26 보다 2Q26</t>
  </si>
  <si>
    <t xml:space="preserve"> 3Q26 예상</t>
  </si>
  <si>
    <t>- 상반기 가격 오르는 시기가 아닌 자동차강판(포뮬러에 따라) 가격 고려 시 2Q26</t>
  </si>
  <si>
    <t xml:space="preserve"> 3Q25이 더 좋을 것으로 전망</t>
  </si>
  <si>
    <t>9. 11월초 정부 철강업 고도화 방안 발표 예상. 여러번 지연됨. 회사가 자체적으로 준비하는지 여부</t>
  </si>
  <si>
    <t>10. 파이넥스 2공장</t>
  </si>
  <si>
    <t xml:space="preserve"> 3공장 거취</t>
  </si>
  <si>
    <t>- 2공장 가동중단 결정한 바 없음</t>
  </si>
  <si>
    <t>- 3공장은 2월부터 개수 진행 중. 공사범위 확대됨. 가동시점은 12월로 예상</t>
  </si>
  <si>
    <t>11. 파이넥스 2공장 적자 여부</t>
  </si>
  <si>
    <t>12. 중국 철강 구조조정</t>
  </si>
  <si>
    <t xml:space="preserve"> 높은가동률 유지 움직임 있음</t>
  </si>
  <si>
    <t xml:space="preserve"> 감산 규모가 중요할 것</t>
  </si>
  <si>
    <t>13. 클레이 리튬 미국 수혜 여부</t>
  </si>
  <si>
    <t>14. HMM 인수 업데이트</t>
  </si>
  <si>
    <t>15. ESS . 내년 리튬 수요</t>
  </si>
  <si>
    <t xml:space="preserve"> ESS</t>
  </si>
  <si>
    <t xml:space="preserve"> 산업용 수요(유리</t>
  </si>
  <si>
    <t xml:space="preserve"> 합금</t>
  </si>
  <si>
    <t xml:space="preserve"> 의료 등)임</t>
  </si>
  <si>
    <t>- 전기차 올해 1400만대</t>
  </si>
  <si>
    <t xml:space="preserve"> 내년 1650만대 예상</t>
  </si>
  <si>
    <t>- 올해 리튬 수요를 120만톤</t>
  </si>
  <si>
    <t xml:space="preserve"> 내년 135만톤으로 전망 (산업용 수요는 약 20만톤 별도)</t>
  </si>
  <si>
    <t>- 통산 ESS가 전기차의 10%이나</t>
  </si>
  <si>
    <t xml:space="preserve"> 내년 20% 수준으로 예상</t>
  </si>
  <si>
    <t>- 리튬가 10달러 기준 수익성 여부는 램프업 결과 보고 판단 가능</t>
  </si>
  <si>
    <t>16. PPLS</t>
  </si>
  <si>
    <t xml:space="preserve"> 포스코아르헨 램프업 상황 업데이트</t>
  </si>
  <si>
    <t>- 작년 10월 가동</t>
  </si>
  <si>
    <t xml:space="preserve"> 올해 12월 램프업 종료</t>
  </si>
  <si>
    <t>- PPLS는 공장 두 개. 하나는 상업생산 중. 나머지 하나는 12월까지 램프업 중</t>
  </si>
  <si>
    <t xml:space="preserve"> 상업생산 완료</t>
  </si>
  <si>
    <t>19. 유럽 쿼터축소 및 관세</t>
  </si>
  <si>
    <t xml:space="preserve"> 영향 있을 것</t>
  </si>
  <si>
    <t xml:space="preserve"> - FTA 맺은 국가와 개별 협상 할 것</t>
  </si>
  <si>
    <t xml:space="preserve"> 늘려왔던 물량들 중 수익성이 낮은 고객사향을 축소해서 다른 지역으로 판매하는 계획 수립 중</t>
  </si>
  <si>
    <t>20. 포스코이앤씨 신안산선 충당금</t>
  </si>
  <si>
    <t>- 3분기 추정액 전액을 반영시킴. 물론 이게 신안산선에 대한 조사결과가 내년 1분기에 나오게 되면 그때 가서 3분기때 쌓은 추정액과의 차이 조정이 필요</t>
  </si>
  <si>
    <t>- 그외에도 1달간 공사 중단. 중단손실이 또 있음(3분기 일부</t>
  </si>
  <si>
    <t xml:space="preserve"> 4분기 잔여액을 모두 쌓을 예정)</t>
  </si>
  <si>
    <t>- 4분기 약 2</t>
  </si>
  <si>
    <t>300억 추가 일시적 손실 예상.</t>
  </si>
  <si>
    <t>- 2800억에 신안산선과 해외 손실이 들어가있음. 국내부동산 관련 손실.</t>
  </si>
  <si>
    <t>21. 중국 CMRG와 BHP의 철광석 관련 갈등</t>
  </si>
  <si>
    <t>- CMRD는 2022년 중국 국영트레이드 회사라 철광석 시장 영향 제한적</t>
  </si>
  <si>
    <t>- 꾸준한 철광석 원료투자를 통해 50% 이상 자급률 유지하면서 시황변동성에 대응할 것</t>
  </si>
  <si>
    <t>내성 이후 첫 실효성 데이터… 보로노이 VRN11 향후 전략’ 심층 인터뷰 | 한국경제</t>
  </si>
  <si>
    <t>내성 이후 첫 실효성 데이터… 보로노이 ‘VRN11 향후 전략’ 심층 인터뷰</t>
  </si>
  <si>
    <t xml:space="preserve"> 장인 보로노이 최고의학책임자(CMO) QnA 전문</t>
  </si>
  <si>
    <t>www.hankyung.com</t>
  </si>
  <si>
    <t>보로노이가 개발 중인 차세대 EGFR 저해제 VRN11이 타그리소 이후 치료공백에 놓여 있던 C797S 내성 변이 환자군에서 의미 있는 객관적반응률(ORR)을 확인했다. 특히 뇌전이 환자에서 중추신경계(CNS) 병변 축소가 실제로 관찰되면서 ‘임상적 충족 필요’(unmet need)가 가장 큰 영역에서 새로운 옵션이 될 수 있다는 가능성이 열렸다. 이번 데이터는 기존 표적항암제 개선형이 아니라</t>
  </si>
  <si>
    <t xml:space="preserve"> 내성 이후 구간을 겨냥한 새로운 신약이라는 점에서 전략적 의미가 크다.</t>
  </si>
  <si>
    <t>VRN11은 현재 용량증량(임상 1a상) 단계임에도</t>
  </si>
  <si>
    <t xml:space="preserve"> C797S 환자군 ORR 75%라는 초기 효능 결과를 확보했다. 특히 약물 도달이 까다로운 중추신경계(CNS) 영역에서도 반응 신호가 확인됐다는 점이 가장 특징적이다. 이는 미국 식품의약국(FDA)이 가속승인을 고려하는 ‘환자 수는 작지만 대체 약물이 존재하지 않는 구간’에 부합한다는 평가가 나온다.</t>
  </si>
  <si>
    <t>.....조금 더 말씀드리면</t>
  </si>
  <si>
    <t xml:space="preserve"> 지금 글로벌에 승인된 그 어떤 약물도 C797S를 직접 표적하지 못합니다. 그래서 임상 현장에서는 “정말로 선택지가 없는” 상태가 이어지고 있었습니다. 그런 환경에서 ORR 75%라는 수치는 단순히 숫자가 아니라 치료 경로 자체를 복원시키는 임상적 신호라는 의미가 있습니다.</t>
  </si>
  <si>
    <t>또 하나 주목할 지점은 중추신경계(CNS) 반응성입니다. 뇌전이는 EGFR 변이 비소세포폐암 환자에서 흔하면서도 예후를 결정적으로 악화시키는 요인인데</t>
  </si>
  <si>
    <t xml:space="preserve"> 이번 데이터에서 실제로 뇌전이 병변 크기 감소가 관찰됐습니다. 이것은 VRN11이 ‘전신 반응 + 뇌 내 반응’을 동시에 갖춘 후보물질이라는 초기 증거로 해석할 수 있습니다.</t>
  </si>
  <si>
    <t>그리고 무엇보다 중요한 것은 이 효능 신호가 내약성 유지를 전제로 나왔다는 점입니다. 독성 과부하 때문에 CNS 효능을 포기하거나</t>
  </si>
  <si>
    <t xml:space="preserve"> CNS를 겨냥하면 전신 독성이 치솟는 방식이 아니라</t>
  </si>
  <si>
    <t xml:space="preserve"> “안전성과 활성 신호가 같이 유지되는 구조”가 보인 것이 가장 큰 의미라고 생각합니다.</t>
  </si>
  <si>
    <t>&lt;뉴스&gt;</t>
  </si>
  <si>
    <t>https://n.news.naver.com/mnews/article/011/0004547740?sid=101</t>
  </si>
  <si>
    <t>현대건설</t>
  </si>
  <si>
    <t xml:space="preserve"> '한미 원전협력' 강화 신호탄… 美와 첫 원전 기본설계 계획 체결</t>
  </si>
  <si>
    <t>현대건설이 국내 최초로 미국 대형원전 건설 계약을 체결하며 한미 원전협력 체계 가동의 신호탄을 쏘아 올렸다. 현대건설은 서울 종로구 현대건설 본사 사옥에서 미국 페르미 아메리카(Fermi America)와 ‘복합 에</t>
  </si>
  <si>
    <t>n.news.naver.com</t>
  </si>
  <si>
    <t>https://n.news.naver.com/mnews/article/011/0004547787?sid=101</t>
  </si>
  <si>
    <t>속도 붙는 마스가…HD현대</t>
  </si>
  <si>
    <t xml:space="preserve"> 사상 첫 美 군함 건조 참여</t>
  </si>
  <si>
    <t xml:space="preserve"> ‘차세대 군수지원함’ 만든다</t>
  </si>
  <si>
    <t>HD현대(267250)가 미국 최대 방산 조선사 헌팅턴 잉걸스 인더스트리(HII)와 손잡고 미 해군의 차세대 군수지원함 건조 사업에 나선다. 한국과 미국 간 군수지원함 분야 협력으로는 첫 사례다. HD현대는 26일</t>
  </si>
  <si>
    <t>中 배터리</t>
  </si>
  <si>
    <t xml:space="preserve"> ‘美 공장 취소’ 첫 사례 나왔다…韓 기회</t>
  </si>
  <si>
    <t>미국의 대중국 압박이 거세지면서 중국 전기차용 배터리 제조기업이 미국 내 사업에서 철수한 첫 사례가 나왔다. 중국을 대체할 배터리 제조업체는 사실상 한국 밖에 없는 만큼</t>
  </si>
  <si>
    <t xml:space="preserve"> LG에너지솔루션 등 국내 기업의 현지 시장</t>
  </si>
  <si>
    <t>https://n.news.naver.com/mnews/article/052/0002264758?sid=104</t>
  </si>
  <si>
    <t>BTS 완전체 월드투어 준비...""내년 최대규모 65차례 공연""</t>
  </si>
  <si>
    <t>멤버들의 군 복무 종료로 완전체가 된 방탄소년단(BTS)이 내년 봄 새 앨범 발표에 이어 월드투어를 준비하고 있다는 외신 보도가 나왔습니다. 블룸버그 통신은 현지 시간 26일 관계자를 인용해 BTS가 내년 세계 각지</t>
  </si>
  <si>
    <t>https://www.mt.co.kr/thebio/2025/10/26/2025102415330325277</t>
  </si>
  <si>
    <t>클래시스</t>
  </si>
  <si>
    <t xml:space="preserve"> K미용의료 M&amp;A 공수전환 행보…휴젤도 예열 중 - 머니투데이</t>
  </si>
  <si>
    <t>클래시스가 남미 최대 미용의료기기 유통그룹을 인수하며 현지 직접 진출에 시동을 걸었다. 국내 미용의료기기 업체가 현지 관련 유통사를 인수해 진출한 첫 사례로</t>
  </si>
  <si>
    <t xml:space="preserve"> 그동안 피인수 대상으로만 여겨지던 업계 이례적 행보라는 평가다. 회사 역시 이번 M&amp;A(인수·합병)가 단기 기</t>
  </si>
  <si>
    <t>www.mt.co.kr</t>
  </si>
  <si>
    <t>한미약품</t>
  </si>
  <si>
    <t xml:space="preserve"> '에페글레나타이드' 3상서 환자 절반 10% 이상 체중 감소</t>
  </si>
  <si>
    <t>한미약품(128940)은 27일 자체 개발한 비만 신약 후보물질 '에페글레나타이드'의 임상 3상시험 중간 톱 라인 결과인 투약 40주 차 결과를 공시했다. 한미약품은 이번 연구는 64주 차까지 약물을 투약하고</t>
  </si>
  <si>
    <t xml:space="preserve"> 관찰</t>
  </si>
  <si>
    <t>자체 개발한 비만 신약 후보물질 '에페글레나타이드'의 임상 3상시험 중간 톱 라인 결과인 투약 40주 차 결과를 공시했다.</t>
  </si>
  <si>
    <t>한미약품은 이번 연구는 64주 차까지 약물을 투약하고</t>
  </si>
  <si>
    <t xml:space="preserve"> 관찰하는 임상 과제이지만 연내 허가신청 계획을 염두에 둬서 40주 차 중간 톱 라인 데이터를 공개한 것으로 보인다. 향후 이번에 발표된 데이터보다 투약 지속에 따른 개선된 지표가 도출될 수 있을 전망이다.</t>
  </si>
  <si>
    <t>한미약품 관계자는 ""통상 비만약 개발사들이 60주 차 이상 투약 결과를 발표하는 것과 달리</t>
  </si>
  <si>
    <t xml:space="preserve"> 40주 차 중간 톱 라인 결과를 공개하게 된 건 그만큼 에페글레나타이드의 우수한 경쟁력과 안전성</t>
  </si>
  <si>
    <t xml:space="preserve"> 시장성을 자신하고 있기 때문""이라면서 ""연내 허가신청 목표를 차질 없이 추진하고</t>
  </si>
  <si>
    <t xml:space="preserve"> 2026년 하반기경 출시될 수 있도록 전사적 노력을 기울일 계획""이라고 말했다.</t>
  </si>
  <si>
    <t>이번 임상은 국내 여러 대학병원에서 당뇨병을 동반하지 않은 성인 비만 환자 448명을 대상으로 이뤄졌다. 무작위 배정과 이중 눈가림</t>
  </si>
  <si>
    <t xml:space="preserve"> 위약 대조</t>
  </si>
  <si>
    <t xml:space="preserve"> 평행 비교 방식으로 설계됐다. 체중 변화율과 체중 감소율이 5% 이상인 시험대상자 비율에 대한 에페글레나타이드 투여군의 위약군 대비 우월성을 평가하는 목적으로 수행됐다.</t>
  </si>
  <si>
    <t>투약 40주 차 시점 분석 결과 5% 이상 체중이 감량된 시험 대상자는 79.42%를 나타냈다. 10% 이상 몸무게가 빠진 대상자는 49.46%</t>
  </si>
  <si>
    <t xml:space="preserve"> 15% 이상은 19.86%다. 기저치 대비 에페글레나타이드 투여군의 평균 체중 변화율은 -9.75%로</t>
  </si>
  <si>
    <t xml:space="preserve"> 위약 투여군 0.95%와 대비됐다.</t>
  </si>
  <si>
    <t>“로봇 손이 인류의 마지막 난제”... 인간형 혁명을 가로막는 ‘손 문제’ [WSJ]</t>
  </si>
  <si>
    <t xml:space="preserve">“로봇 손이 인류의 마지막 난제”... 인간형 혁명을 가로막는 ‘손 문제’ [WSJ] </t>
  </si>
  <si>
    <t>2050년까지 5조 달러(약 6</t>
  </si>
  <si>
    <t>800조 원) 규모로 성장할 것으로 예상되는 인간형 로봇 시장의 가장 큰 난제가 있다. 바로 '손 문제(the hand problem)'다. 일론 머스크가 테슬라 휴머노이드 로봇 '옵</t>
  </si>
  <si>
    <t>미래에셋 반발에 미뤄지는 두나무 주주서한 발송... 네이버 합병 늦어지나</t>
  </si>
  <si>
    <t>이 기사는 2025년 10월 24일 10시 16분 조선비즈 머니무브(MM) 사이트에 표출됐습니다. 국내 1위 가상자산 거래소 ‘업비트’를 운영하는 두나무와 네이버 자회사 네이버파이낸셜이 포괄적 주식교환을 추진하는 가</t>
  </si>
  <si>
    <t>24일 투자은행(IB) 업계에 따르면 양사는 주주들의 이해관계를 조정하느라 주식교환 비율도 아직 확정하지 못한 상태다. 특히 네이버파이낸셜 2대주주인 미래에셋금융그룹이 기업가치에 동의하지 못하는 것으로 알려졌다.</t>
  </si>
  <si>
    <t>시장에서는 ‘두나무:네이버파이낸셜=3:1’이라는 설에 무게가 실린다. 두나무 기업가치를 14조~15조원으로</t>
  </si>
  <si>
    <t xml:space="preserve"> 네이버파이낸셜 기업가치는 5조원 안팎으로 산정할 가능성이 크다는 것이다. 이 경우 주식교환 후 네이버파이낸셜의 최대주주는 지분 약 19%를 보유한 송치형 두나무 회장이 된다. 네이버의 지분율은 약 17.5%</t>
  </si>
  <si>
    <t xml:space="preserve"> 미래에셋의 지분율은 7.5%가 될 것으로 추산된다.</t>
  </si>
  <si>
    <t>IB 업계에 따르면 양사의 주요 주주들은 기업가치를 놓고 첨예하게 대립하고 있다. 그중에서도 특히 네이버파이낸셜 2대주주인 미래에셋이 민감하게 반응하고 있는 것으로 전해진다. 미래에셋은 네이버파이낸셜 지분 30%를 갖고 있다. 네이버(70%)를 제외하면 유일한 주주다.</t>
  </si>
  <si>
    <t>한 업계 관계자는 “미래에셋은 네이버파이낸셜이 적어도 카카오페이(시가총액 약 7조원) 정도의 기업가치는 인정받아야 한다고 생각하는 것으로 안다”고 전했다.</t>
  </si>
  <si>
    <t>미래에셋은 이번 주식교환 비율이 어떻게 정해지느냐에 따라 향후 네이버파이낸셜과 네이버가 합병할 시 손해를 볼 수 있는 주주다. 이번 네이버파이낸셜·두나무의 교환 비율이 1대 3이라면</t>
  </si>
  <si>
    <t xml:space="preserve"> 향후 네이버파이낸셜과 네이버가 합병한다는 가정하에 미래에셋의 네이버 지분율은 2.6%에 불과할 것으로 추산된다</t>
  </si>
  <si>
    <t>네이버·쿠팡 격차 더 벌렸다""…e커머스</t>
  </si>
  <si>
    <t xml:space="preserve"> 선불충전금 '양극화'</t>
  </si>
  <si>
    <t>e커머스 플랫폼의 '충성고객 보유 지표'라 해석되는 선불충전금 규모에 있어 쿠팡·네이버와 나머지 플랫폼 간의 격차가 점차 커지고 있는 것으로 나타났다. 27일 업계에 따르면 네이버페이(네이버파이낸셜)의 3분기 말(9</t>
  </si>
  <si>
    <t>아마존</t>
  </si>
  <si>
    <t xml:space="preserve"> AI 시대 맞아 클라우드 우위 잃어가"" &lt; 산업일반 &lt; AI산업 &lt; 기사본문 - AI타임스</t>
  </si>
  <si>
    <t xml:space="preserve"> AI 시대 맞아 클라우드 우위 잃어가"" - AI타임스</t>
  </si>
  <si>
    <t>클라우드 서비스의 창시자로 이 분야 최대 점유율을 지켜온 아마존 웹 서비스(AWS)가 인공지능(AI) 시대를 맞아 우위를 잃어간다는 분석이 등장했다.블룸버그와 비</t>
  </si>
  <si>
    <t>www.aitimes.com</t>
  </si>
  <si>
    <t>블룸버그와 비즈니스 인사이더는 24일(현지시간) 내부 보고서와 관계자를 인용</t>
  </si>
  <si>
    <t xml:space="preserve"> AWS가 경쟁사들의 AI 클라우드 서비스에 점차 밀리고 있다고 분석했다.</t>
  </si>
  <si>
    <t>이는 최근 발생한 AWS의 글로벌 서비스 장애와 앤트로픽과 구글 클라우드의 파트너십</t>
  </si>
  <si>
    <t xml:space="preserve"> 그리고 내부의 보고서와 시장 점유율 등이 종합된 결과다.</t>
  </si>
  <si>
    <t>지난 20일에는 사상 최악의 서비스 중단 상태로 15시간 동안 서비스 장애가 지속됐다. 이어 23일에는 경쟁사인 구글이 최대 100만개의 TPU를 앤트로픽에 제공한다고 발표했다. 여기에 오픈AI는 엔비디아 등과의 파트너십으로 '스타게이트' 프로젝트를 자체적으로 진행하고 있다.</t>
  </si>
  <si>
    <t>여기에 내부 보고서에 따르면</t>
  </si>
  <si>
    <t xml:space="preserve"> AWS는 AI 클라우드 경쟁에서 가장 낮은 평가를 받는 것으로 나타났다. AI 스타트업들은 AWS 클라우드 도입을 피하고 AI 모델이나 추론 서비스 등에 지출을 집중하고 있다는 것이다.</t>
  </si>
  <si>
    <t>실제로 그래머리는 오랫동안 AWS 데이터센터에 의존해 왔지만</t>
  </si>
  <si>
    <t xml:space="preserve"> AI 서비스를 위해서는 마이크로소프트(MS)의 애저 서비스를 채택했다. 마크 샤프 그래머리 최고 기술책임자(CTO)는 ""AWS 모델 마켓플레이스인 베드록이 회사의 가격 및 기타 요구 사항을 충족하지 못한다""라고 말했다. 데이터 보안 업체인 드루바(Druva)도 올해 초 AWS에 추가로 MS 애저를 도입했다.</t>
  </si>
  <si>
    <t>조쉬 벡 레이먼드 제임스 애널리스트는 ""앞으로 2~3년 안에 5~10배 성장할 AI 스타트업들을 지금 확보하지 못한다면</t>
  </si>
  <si>
    <t xml:space="preserve"> 이는 기업에 심각한 문제가 될 수 있다""라고 말했다. 스타트업 스트롱홀드 랩의 피트 슈왑 CEO는 ""AWS는 예전에는 우리 같은 사람들을 끌어들이는 데 훨씬 더 효과적이었다""라며 ""소규모 업체를 얼마나 잘 지원하는지는 우리에게 매우 중요하다. 그리고 구글은 그 부분에서 더 잘하고 있다""라고 말했다.</t>
  </si>
  <si>
    <t>엔비디아 CEO 젠슨 황</t>
  </si>
  <si>
    <t xml:space="preserve"> 15년 만에 첫 방한 — APEC 기업 정상회의에서 연설 예정</t>
  </si>
  <si>
    <t>대한민국이 주최하는 2025 아시아태평양경제협력체(APEC) 기업 정상회의의 최대 하이라이트 중 하나는 엔비디아(NVIDIA) CEO 젠슨 황(Jensen Huang) 의 참석이다. 그는 15년 만에 처음으로 한국을 방문하며</t>
  </si>
  <si>
    <t xml:space="preserve"> 이번 회의에서 공식 연설을 진행할 예정이다.</t>
  </si>
  <si>
    <t>한국시간 10월 31일 오후 4시(대만시간 오후 5시) 예정된 황 CEO의 연설은</t>
  </si>
  <si>
    <t xml:space="preserve"> AI(인공지능)</t>
  </si>
  <si>
    <t xml:space="preserve"> 로보틱스</t>
  </si>
  <si>
    <t xml:space="preserve"> 디지털 트윈(Digital Twin)</t>
  </si>
  <si>
    <t xml:space="preserve"> 자율주행 기술 등을 아우르며 기술 혁신 가속화와 글로벌 성장에 대한 엔비디아의 비전을 공유할 것으로 알려졌다.</t>
  </si>
  <si>
    <t>그의 AI 업계 내 영향력을 고려할 때</t>
  </si>
  <si>
    <t xml:space="preserve"> 이번 참석은 회의의 국제적 주목도를 크게 높일 것으로 기대된다.</t>
  </si>
  <si>
    <t>SK그룹 최태원 회장(현 APEC 기업 정상회의 의장) 이 직접 황 CEO에게 초청장을 전달했으며</t>
  </si>
  <si>
    <t xml:space="preserve"> 이를 통해 회의의 위상을 강화했다. 업계는 젠슨 황이 최태원 회장</t>
  </si>
  <si>
    <t xml:space="preserve"> 삼성전자 이재용 회장 등 주요 한국 기업 총수들과 별도 회담을 갖고 AI 동맹 및 협력 방안을 논의할 가능성이 높다고 보고 있다. SK와 삼성은 모두 엔비디아의 주요 메모리 공급사이다.</t>
  </si>
  <si>
    <t>이 밖에도 아마존웹서비스(AWS) CEO 매트 가먼(Matt Garman)</t>
  </si>
  <si>
    <t xml:space="preserve"> 메타 아태지역 공공정책 부사장 사이먼 밀너(Simon Milner)</t>
  </si>
  <si>
    <t xml:space="preserve"> 마이크로소프트 기업부문 부사장 앤서니 쿡(Antony Cook) 및 울리히 호만(Ulrich Homann)</t>
  </si>
  <si>
    <t xml:space="preserve"> 구글 아태지역 마케팅 총괄 사이먼 칸(Simon Kahn) 등 글로벌 대기업 임원들이 참석을 확정했다.</t>
  </si>
  <si>
    <t>한국 대기업인 삼성·현대·LG를 비롯해</t>
  </si>
  <si>
    <t xml:space="preserve"> 전 세계 약 1</t>
  </si>
  <si>
    <t>700명의 기업 대표단이 이번 회의에 참가한다.</t>
  </si>
  <si>
    <t>대한상공회의소(KCCI) 는 이번 기업 정상회의가 예년과 달리</t>
  </si>
  <si>
    <t xml:space="preserve"> 기업인들이 각국 총리 및 장관들과 1:1로 직접 회담을 진행하며 투자 및 협력 기회를 모색할 수 있는 장이 될 것이라고 밝혔다.</t>
  </si>
  <si>
    <t>딜로이트(Deloitte) 와 KCCI는 이번 회의의 경제적 효과가 약 7.4조 원(약 52억 달러) 에 달하며</t>
  </si>
  <si>
    <t xml:space="preserve"> 2만 2천 개 이상의 일자리 창출 효과가 있을 것으로 전망했다.</t>
  </si>
  <si>
    <t>https://money.udn.com/money/story/5599/9097276?from=edn_maintab_index</t>
  </si>
  <si>
    <t>애플 D램 주문으로 삼성전자 수혜…전례 없는 호황""</t>
  </si>
  <si>
    <t>애플이 내년에 큰 폭으로 모바일 D램 주문을 늘리면서 삼성전자가 혜택을 받을 것으로 전망된다. 클라우드 업계의 서버용 D램 수요 증가도 호재다. 전례 없는 반도체 호황이 다가오는 것이다.</t>
  </si>
  <si>
    <t>김동원 KB증권 리서치센터장은 27일 보고서를 통해 ""애플은 고급 모델에만 적용했던 12GB를 일반 모델에도 확대 적용할 전망""이라고 예상했다. 애플이 인공지능(AI) 구현 최적화를 위해 내년 하반기 출시 예정인 아이폰18부터 다른 전략을 쓰고</t>
  </si>
  <si>
    <t xml:space="preserve"> D램 주문을 크게 늘린다는 예상이다.</t>
  </si>
  <si>
    <t>김 센터장은 ""경쟁사와 달리 상대적으로 여유 있는 1b 나노미터(nm) 생산능력을 확보한 삼성전자는 애플로부터 내년 LPDDR5X 수주를 크게 늘릴 것으로 예상된다""고 말했다.</t>
  </si>
  <si>
    <t>또한 내년에는 범용 D램 수익성이 고대역폭메모리(HBM)를 추월할 전망이다. D램의 경우 견조한 서버 수요와 함께 모바일 탑재량이 늘어나고 있다. 게다가 2025년 상반기 5배 수준이던 DDR5와 HBM3E의 가격 차이가 2026년 하반기에 2배로 줄어들 전망이다.</t>
  </si>
  <si>
    <t>김 센터장은 ""최근 클라우드 업체의 대규모 연산 지원 모델 채택 급증으로 2026년 서버당 평균 D램 탑재 용량은 전년 대비 15% 증가할 전망""이라며 ""내년 서버 D램 수요는 전년 대비 20% 증가할 것으로 추정되고</t>
  </si>
  <si>
    <t xml:space="preserve"> 내년 D램 업체의 생산 증가율을 크게 웃돌 전망""이라고 말했다.</t>
  </si>
  <si>
    <t>삼성전자는 전례 없는 호황 사이클에 진입했다. D램 공급 증가는 삼성전자의 평택 P5 공장 및 용인 반도체 클러스터 가동이 본격화되는 2028년부터 가능할 전망이다. 2026년~2027년의 D램 시장은 신규 생산능력을 확대할 공간이 부족해 심각한 공급 부족에 직면할 것으로 보인다.</t>
  </si>
  <si>
    <t>김 센터장은 ""이번 반도체 사이클은 모바일 B2C와 AI 및 일반 서버 중심의 B2B 수요가 동시에 증가하며 과거 경험하지 못한 전례 없는 호황 사이클에 진입한 것으로 판단된다""며 ""반도체 업체들은 새로운 장기 성장 국면을 맞이할 것으로 기대된다""고 말했다.</t>
  </si>
  <si>
    <t>https://news.einfomax.co.kr/news/articleView.html?idxno=4380271</t>
  </si>
  <si>
    <t>SK하이닉스</t>
  </si>
  <si>
    <t xml:space="preserve"> 'HBM 생산' M15X에 첫 장비반입…연내 준공 순항</t>
  </si>
  <si>
    <t>올해 4분기 준공 후 내년 가동…차세대 HBM 양산 계획</t>
  </si>
  <si>
    <t>SK하이닉스가 고대역폭 메모리(HBM) 등 D램 생산기지로 구축 중인 청주 M15X 팹(공장)에 첫 장비를 반입하며 연내 준공 목표에 속도를 내고 있다.</t>
  </si>
  <si>
    <t>27일 업계에 따르면 SK하이닉스는 이날 청주에 짓고 있는 M15X의 첫 클린룸을 오픈하고 장비 반입을 시작한 것으로 알려졌다.</t>
  </si>
  <si>
    <t>M15X는 SK하이닉스가 20조원 이상을 투자해 짓고 있는 기존 M15의 확장 팹이다. 올해 4분기 내 준공 예정인 M15X에서는 D램 중에서도 HBM을 집중적으로 생산할 계획이다.</t>
  </si>
  <si>
    <t>앞서 SK하이닉스는 지난해 말부터 경기 이천캠퍼스에서 근무하는 일부 D램 인력들을 청주캠퍼스에 배치하며 인프라 구축</t>
  </si>
  <si>
    <t xml:space="preserve"> 장비 세팅 등 기반 작업에 착수했다.</t>
  </si>
  <si>
    <t>이날 장비 반입까지 시작하면서 당초 계획했던 연내 준공도 순항하는 모습이다.</t>
  </si>
  <si>
    <t>M15X가 준공을 마치고 내년 본격 가동에 돌입하면 급증하는 HBM 수요에 적극 대응하고</t>
  </si>
  <si>
    <t xml:space="preserve"> HBM 시장 리더십을 더욱 공고히 할 것으로 기대된다.</t>
  </si>
  <si>
    <t>SK하이닉스는 M15X 외에도 용인 반도체 클러스터</t>
  </si>
  <si>
    <t xml:space="preserve"> 미국 인디애나주 어드밴스드 패키징 공장 구축도 병행하며 글로벌 생산·패키징 역량을 확장 중이다.</t>
  </si>
  <si>
    <t>SK하이닉스는 2분기 실적발표 후 콘퍼런스콜에서 ""M15X는 고객 수요에 대응하기 위해 차세대 HBM 제품 위주의 양산을 계획하고 있으며</t>
  </si>
  <si>
    <t xml:space="preserve"> 내년 모든 고객이 필요한 물량에 대한 가시성이 확보되는 상황에 맞춰 점진적으로 캐파(생산능력)를 늘려갈 계획""이라고 밝혔다.</t>
  </si>
  <si>
    <t>그러면서 ""M15X 활용에 대해 구체적으로 말씀드리기는 어려우나</t>
  </si>
  <si>
    <t xml:space="preserve"> 내년 말 팹 공간 제약으로 인해 HBM 공급을 못 하는 일은 없다""고 덧붙였다.</t>
  </si>
  <si>
    <t>한편 SK하이닉스는 이미 올해 HBM 물량을 '완판'한 데 이어</t>
  </si>
  <si>
    <t xml:space="preserve"> 메모리 3사 중 가장 먼저 HBM4(6세대) 양산 준비를 마치고 엔비디아와 막바지 물량 협상을 진행 중이다.</t>
  </si>
  <si>
    <t>https://www.yna.co.kr/view/AKR20251027076400003?input=1195m</t>
  </si>
  <si>
    <t>https://www.theguru.co.kr/news/article.html?no=93418</t>
  </si>
  <si>
    <t>[더구루] LG엔솔·혼다 美오하이오 배터리 합작공장 가동 임박</t>
  </si>
  <si>
    <t>[더구루=홍성일 기자] LG에너지솔루션과 일본 혼다가 합작한 오하이오주 배터리 공장의 본격 가동이 '초읽기'에 들어갔다. 양사는 빠르게 공사를 마무리하고 올해 중으로 배터리 생산을 시작할 예정이다. 27일 업계에 따르면 LG에너지솔루션·혼다 합작법인 'L-H배터리 컴퍼니'의 미국 오하이오주 파예트카운티 공장이 완공 단계에 돌입했다. 파예트카운티 공장에서는</t>
  </si>
  <si>
    <t>www.theguru.co.kr</t>
  </si>
  <si>
    <t>오픈AI</t>
  </si>
  <si>
    <t xml:space="preserve"> 메타처럼 변해가""...거대 기업 성장에 따른 갈등 드러나 &lt; 산업일반 &lt; AI산업 &lt; 기사본문 - AI타임스</t>
  </si>
  <si>
    <t xml:space="preserve"> 메타처럼 변해가""...거대 기업 성장에 따른 갈등 드러나 - AI타임스</t>
  </si>
  <si>
    <t>오픈AI가 거대 기업으로 성장하기 위해 메타의 전략을 벤치마킹한다는 증언이 등장했다. 이 과정에서 일부 구성원들의 불만도 심해지고 있다는 내용이다.디 인포메이션은</t>
  </si>
  <si>
    <t>디 인포메이션은 24일(현지시간) 다수의 관계자를 인용</t>
  </si>
  <si>
    <t xml:space="preserve"> 오픈AI가 서비스와 비즈니스에서 메타의 전략을 채택하고 있다고 보도했다.</t>
  </si>
  <si>
    <t>이는 오픈AI의 운영 전반을 이끄는 피지 시모 애플리케이션 CEO가 메타 출신이라는 점에서 비롯된다. 그는 페이스북 CEO 재직 시 수익 전략을 만들었으며</t>
  </si>
  <si>
    <t xml:space="preserve"> 이어 인스타카트의 상장을 이끈 것으로 유명하다. 지난 8월부터 오픈AI에 합류</t>
  </si>
  <si>
    <t xml:space="preserve"> 기술 개발을 제외한 재무와 제품 개발을 포함한 운영 업무 전반을 맡고 있다.</t>
  </si>
  <si>
    <t>이후 오픈AI에는 과거 시모 CEO와 일했던 메타 출신 인물들이 대거 합류했다. 링크드인 프로필 분석 결과</t>
  </si>
  <si>
    <t xml:space="preserve"> 현재 630여명이 근무 중이다. 이는 3000명이 넘는 전체 인원 중 20%에 해당하며</t>
  </si>
  <si>
    <t xml:space="preserve"> 인원이 많은 탓에 사내 슬랙에는 메타 출신들을 위한 채널이 별도로 마련됐다. 여기에는 비제이 라지 애플리케이션 부문 최고 기술책임자(CTO)와 케이트 라우치 최고 마케팅책임자(CMO)</t>
  </si>
  <si>
    <t xml:space="preserve"> 호아킨 칸델라 채용 책임자 등 고위직도 다수 포함됐다.</t>
  </si>
  <si>
    <t>샘 알트먼 CEO가 시모 CEO를 영입한 것은 회사 규모가 커지며 기술 개발만큼 서비스나 비즈니스 전략이 중요해지고</t>
  </si>
  <si>
    <t xml:space="preserve"> 나아가 상장을 준비해야 하기 때문이다. 따라서 그에게 운영 전반을 맡기고</t>
  </si>
  <si>
    <t xml:space="preserve"> 자신은 기술 개발과 인프라 구축에 전념하겠다는 의도다.</t>
  </si>
  <si>
    <t>PC 교체 수요 폭발</t>
  </si>
  <si>
    <t xml:space="preserve"> 공급망 활기 — ASUS·Acer·Quanta 등 수혜</t>
  </si>
  <si>
    <t>마이크로소프트가 최근 Windows 10 지원을 공식 종료하면서 전 세계적으로 PC 교체(업그레이드) 수요가 폭발하고 있다. 이에 따라 2025년 3분기 PC 출하량은 전년 대비 8.1% 증가했으며</t>
  </si>
  <si>
    <t xml:space="preserve"> 아직 전 세계 약 40%의 PC가 Windows 10을 사용 중이어서 교체 수요는 향후 수년간 지속적인 성장 모멘텀이 될 전망이다. 업계는 2026년에도 PC 출하량이 증가세를 이어가며</t>
  </si>
  <si>
    <t xml:space="preserve"> ASUS(2357)</t>
  </si>
  <si>
    <t xml:space="preserve"> Acer(2353)</t>
  </si>
  <si>
    <t xml:space="preserve"> Quanta(2382)</t>
  </si>
  <si>
    <t xml:space="preserve"> Compal(2324) 등 공급망 전반의 실적 개선이 기대된다고 보고 있다.</t>
  </si>
  <si>
    <t>🔹 시장 동향 및 출하량</t>
  </si>
  <si>
    <t>시장조사업체 Counterpoint Research에 따르면</t>
  </si>
  <si>
    <t>2025년 3분기 전 세계 PC 출하량은 전년 동기 대비 8.1% 증가했다.</t>
  </si>
  <si>
    <t>성장 요인은</t>
  </si>
  <si>
    <t>1️⃣ Windows 10 지원 종료(10월)</t>
  </si>
  <si>
    <t>2️⃣ 미국의 관세 정책 변화에 따른 전략적 재고 조정 이었다.</t>
  </si>
  <si>
    <t>브랜드별로는</t>
  </si>
  <si>
    <t>Lenovo가 1위를 유지</t>
  </si>
  <si>
    <t>그 뒤로 HP</t>
  </si>
  <si>
    <t xml:space="preserve"> Dell</t>
  </si>
  <si>
    <t xml:space="preserve"> Apple</t>
  </si>
  <si>
    <t xml:space="preserve"> ASUS가 뒤를 이었다. 상위 5개 업체 중 Dell만 출하량이 감소</t>
  </si>
  <si>
    <t xml:space="preserve"> 나머지는 모두 두 자릿수 성장률을 기록했다. 특히 ASUS는 소비자용 모델 호조로 분기 대비 +22.5%</t>
  </si>
  <si>
    <t xml:space="preserve"> 전년 대비 +14.1% 성장</t>
  </si>
  <si>
    <t>상위 5대 제조사 중 가장 높은 분기 성장률을 기록했다.</t>
  </si>
  <si>
    <t>🔹 Win10 종료 + AI PC 수요 = 이중 성장 엔진</t>
  </si>
  <si>
    <t>Windows 10 지원 중단으로 인해 기업 및 일반 소비자 모두 대규모 교체 수요가 발생 중이며</t>
  </si>
  <si>
    <t xml:space="preserve"> 아직 40% 가까운 사용자가 Win10을 쓰고 있어 향후 수년간 교체 수요가 지속될 전망이다. Counterpoint는 “현재 성장은 운영체제 교체에 따른 일시적 효과가 크지만</t>
  </si>
  <si>
    <t xml:space="preserve"> AI PC의 본격적인 확산이 시작되면 한 단계 더 강한 구조적 성장이 가능하다”고 지적했다. 현재 Qualcomm의 ‘Elite X2’ 노트북용 칩</t>
  </si>
  <si>
    <t xml:space="preserve"> NVIDIA·Intel의 고성능 AI 연산 프로세서가 출시되면서 2026년 이후 AI PC 출하량이 급증할 것으로 예측된다.</t>
  </si>
  <si>
    <t>🔹 주요 기업 전망</t>
  </si>
  <si>
    <t>ASUS(2357)</t>
  </si>
  <si>
    <t xml:space="preserve"> MSI(2377)</t>
  </si>
  <si>
    <t xml:space="preserve"> Gigabyte(2376) 등 브랜드 제조사</t>
  </si>
  <si>
    <t xml:space="preserve"> 그리고 Quanta(2382)</t>
  </si>
  <si>
    <t xml:space="preserve"> Compal(2324)</t>
  </si>
  <si>
    <t xml:space="preserve"> Wistron(3231)</t>
  </si>
  <si>
    <t xml:space="preserve"> Inventec(2356)</t>
  </si>
  <si>
    <t xml:space="preserve"> Foxconn(鴻海</t>
  </si>
  <si>
    <t xml:space="preserve"> 2317)</t>
  </si>
  <si>
    <t xml:space="preserve"> Pegatron(和碩</t>
  </si>
  <si>
    <t xml:space="preserve"> 4938) 등 OEM/ODM 업체 모두 수혜가 예상된다. Compal은 “시즌성 수요 둔화에도 불구하고</t>
  </si>
  <si>
    <t xml:space="preserve"> 4분기 출하량이 고객 주문에 따라 증가할 가능성이 있다”고 언급했다.</t>
  </si>
  <si>
    <t>Quanta는 3분기 노트북 출하량이 1</t>
  </si>
  <si>
    <t>270만 대로 전분기 대비 +5%</t>
  </si>
  <si>
    <t xml:space="preserve"> 전년 대비 +0.8% 성장했으며</t>
  </si>
  <si>
    <t xml:space="preserve"> 올해 전체 노트북 출하량은 한 자릿수 성장률이 예상된다. Wistron은 3분기 노트북 출하량 640만 대</t>
  </si>
  <si>
    <t xml:space="preserve"> 전분기 대비 +8.5%</t>
  </si>
  <si>
    <t xml:space="preserve"> 전년 대비 +23.1% 증가. 4분기에는 소폭 감소할 전망이지만</t>
  </si>
  <si>
    <t xml:space="preserve"> 연간 출하량 증가율은 한 자릿수 → 두 자릿수로 상향 조정했다.</t>
  </si>
  <si>
    <t>https://money.udn.com/money/story/5612/9096337?from=edn_subcatelist_cate</t>
  </si>
  <si>
    <t>https://biz.chosun.com/industry/company/2025/10/24/LSNMXNDX3FBZXH3HLTHBP4SESI/</t>
  </si>
  <si>
    <t>120㎜ 박격포 원하는 우즈벡… SNT다이내믹스와 논의 급물살</t>
  </si>
  <si>
    <t>120㎜ 박격포 원하는 우즈벡 SNT다이내믹스와 논의 급물살 문의 이틀 만에 공장 찾아</t>
  </si>
  <si>
    <t>biz.chosun.com</t>
  </si>
  <si>
    <t>https://view.asiae.co.kr/article/2025102210505284425</t>
  </si>
  <si>
    <t>데이터센터 호황에 가스터빈 품귀 현상[테크토크] - 아시아경제</t>
  </si>
  <si>
    <t>지난 13일 두산에너빌리티는 380메가와트(MW)급 산업용 가스터빈 2기를 미국 기업에 공급하기로 했다고 밝혔습니다. 국산 가스터빈이 미국에 수출된 첫 사례로</t>
  </si>
  <si>
    <t xml:space="preserve"> ...</t>
  </si>
  <si>
    <t>view.asiae.co.kr</t>
  </si>
  <si>
    <t xml:space="preserve"> GPU 넘는 메모리 중심 AI 가속기 구상 - ZDNet korea</t>
  </si>
  <si>
    <t xml:space="preserve"> GPU 넘는 메모리 중심 AI 가속기 구상</t>
  </si>
  <si>
    <t>인공지능(AI)이 답을 내는 데 시간이 걸리는 진짜 이유가 ‘메모리 부족’이라 보고</t>
  </si>
  <si>
    <t xml:space="preserve"> SK하이닉스가 메모리 중심 가속기를 연구 중이다. 그래픽처리장치(GPU)보다 메모리를 훨씬 많이 탑재해 대형 언어모델(LLM) 추론 속도를 끌어올리겠다는 계획이다.주영표 SK하이닉스 연구위원은 2...</t>
  </si>
  <si>
    <t>zdnet.co.kr</t>
  </si>
  <si>
    <t xml:space="preserve"> SK하이닉스가 메모리 중심 가속기를 연구 중이다. 그래픽처리장치(GPU)보다 메모리를 훨씬 많이 탑재해 대형 언어모델(LLM) 추론 속도를 끌어올리겠다는 계획이다.</t>
  </si>
  <si>
    <t>주 연구위원이 밝힌 추론형 가속기 구조는 메모리 특화 가속기다. 이 칩은 기존 GPU 대비 메모리 비중을 대폭 높인 추론형 칩이다. 패키지당 메모리 용량을 확대하</t>
  </si>
  <si>
    <t xml:space="preserve"> 메모리-연산기 간 접점 면적(쇼어라인)을 넓혀 연산기에 더 많은 대역폭을 공급하는 것이 목표다.</t>
  </si>
  <si>
    <t>즉</t>
  </si>
  <si>
    <t xml:space="preserve"> 칩당 메모리 용량을 대폭 키우는 동시에</t>
  </si>
  <si>
    <t xml:space="preserve"> GPU가 메모리 병목 없이 데이터를 빠르게 공급받을 수 있게 하는 것이 핵심이다. 그는 “기존에는 중앙에 GPU</t>
  </si>
  <si>
    <t xml:space="preserve"> 주변에 HBM(고대역폭메모리)을 배치했지만</t>
  </si>
  <si>
    <t xml:space="preserve"> 앞으로는 HBM보다 더 많은 메모리를 탑재하고 인터페이스 쇼어라인을 확대해 대역폭을 극대화하는 구조를 지향한다”고 설명했다.</t>
  </si>
  <si>
    <t>메모리 특화 가속기가 필요한 이유로는 병목 현상을 지목했다. AI 추론 과정에서 메모리 병목이 GPU 효율을 크게 떨어뜨린다는 이유에서다.</t>
  </si>
  <si>
    <t>주 연구위원은 “LLM 디코드 단계는 GPU 연산 자원을 20~30%밖에 활용하지 못한다”며 “대부분의 시간이 데이터를 읽고 쓰는 과정에 소모돼</t>
  </si>
  <si>
    <t xml:space="preserve"> GPU 성능이 아니라 메모리 대역폭이 병목으로 작용하고 있다”고 지적했다.</t>
  </si>
  <si>
    <t>https://www.newsis.com/view/NISX20251023_0003374681</t>
  </si>
  <si>
    <t>올레드도 따라올까…中 차세대 8.6 올레드 투자 가속화</t>
  </si>
  <si>
    <t>[서울=뉴시스]이지용 기자 = 국내 패널 기업들이 주도해온 올레드(OLED·유기발광다이오드) 시장에서 중국 기업들의 추격이 거세다.중국 기업들은 차세대 8.6세대 올레드 공장을 잇달아 짓는 등 투자를 늘리고 있다. 이에 한국 기업들이 액정표시장치(LCD) 시장을 중국에 내준 것처럼 올레드에서도 빠르게 따라잡힐 수 있다는 우려도 들린다.24일 업계에 따르면 ..</t>
  </si>
  <si>
    <t>www.newsis.com</t>
  </si>
  <si>
    <t>中텅스텐 밸브 잠그자… 반도체 가스 WF6 가격 90% 인상 폭탄 - 전자부품 전문 미디어 디일렉</t>
  </si>
  <si>
    <t>중국 정부가 전략광물 수출을 통제하면서 텅스텐 가격이 치솟자 육불화텅스텐(WF6) 공급사들이 반도체 제조업체를 상대로 대규모 가격 인상에 나섰다. 미중 패권전쟁에 따른 중국발 '자원 무기화&amp;#39...</t>
  </si>
  <si>
    <t>www.thelec.kr</t>
  </si>
  <si>
    <t>[단독] 국민연금</t>
  </si>
  <si>
    <t xml:space="preserve"> 국장 수익률 50% 돌파…3년 연속 사상 최대 수익 가시권 [시그널]</t>
  </si>
  <si>
    <t>- 7월 국내주식 수익률 38.61%</t>
  </si>
  <si>
    <t>- 코스피 상승에 10월 50% 훌쩍 넘어</t>
  </si>
  <si>
    <t>- 3년 연속 최대 수익률 기대 높아져</t>
  </si>
  <si>
    <t xml:space="preserve"> 이사장까지</t>
  </si>
  <si>
    <t>https://www.sedaily.com/NewsView/2GZCAQHXF7</t>
  </si>
  <si>
    <t>中 견제 위해 더 강력한 해군으로…트럼프 '황금 함대' 추진</t>
  </si>
  <si>
    <t>기존 함정 구성 대체…장거리 미사일 탑재 대형 전투함 등 포함 트럼프 직접 관여…1기 집권 때부터 '함정 디자인' 적극 개입 도널드 트럼프 미국 대통령이 중국의 잠재적 위협에 대응하기 위해 새로운 함대 '황금 함대'</t>
  </si>
  <si>
    <t>다만</t>
  </si>
  <si>
    <t xml:space="preserve"> 신형 대형 전투함의 경우 새로 설계하고 건조하려면 수년이 걸릴 것이라는 관측이 나온다.</t>
  </si>
  <si>
    <t>해군 예비역 장교인 브라이언 클라크 허드슨연구소 선임연구위원은 ""트럼프 임기 내에는 새 대형 전투함의 실물을 볼 수 없을 가능성이 크다""며 ""반면에 소형 호위함은 훨씬 빠르게 만들 수 있고</t>
  </si>
  <si>
    <t xml:space="preserve"> 특히 해군이 외국 조선소와 협력하면 속도를 낼 수 있다""고 설명했다.</t>
  </si>
  <si>
    <t>중국에 대응하려면 해군의 전력 강화는 필요하나 미국 조선 산업 재건이 단순히 이름을 새로 붙이는 것으로는 해결되지 않는다는 지적도 나온다.</t>
  </si>
  <si>
    <t>마크 몽고메리 전 해군 장교는 ""조선소 현대화에 지속해서 투자하고 정비 적체를 해소해야 한다""며 ""대대적인 함대 재구상에는 찬성하지만 초대형 수상함이 정답인지는 확신이 없다""고 말했다.</t>
  </si>
  <si>
    <t>아울러 ""대통령의 미적 감각은 전술적 함정에 요구되는 사항을 평가하는 기준이 아니다""라고 비판했다.</t>
  </si>
  <si>
    <t>마이크론 ‘소캠2’ 출하에 삼성·SK도 맞불…‘제2의 HBM 전쟁’ 서막 [비즈360]</t>
  </si>
  <si>
    <t>마이크론</t>
  </si>
  <si>
    <t xml:space="preserve"> 소캠2 샘플 출하 공식 발표 같은 날 삼성·SK도 소캠 실물·스펙 공개 삼성·SK</t>
  </si>
  <si>
    <t xml:space="preserve"> 엔비디아 내년 물량 증가 기대 마이크론이 공개한 소캠(SOCAMM)2 모습. [마이크론 제공] [헤럴드경제=박지영 기자]</t>
  </si>
  <si>
    <t>‘K-전선’ 전 세계서 성장폭 가장 컸다…해저케이블 투자로 날개 [비즈360]</t>
  </si>
  <si>
    <t>작년 K-전선·케이블 수출 42억달러</t>
  </si>
  <si>
    <t>전 세계서 성장속도 1위 기록</t>
  </si>
  <si>
    <t>최대 시장 미국</t>
  </si>
  <si>
    <t xml:space="preserve"> 10년 연속 매년 K-전선 수입↑</t>
  </si>
  <si>
    <t>‘해저케이블’ 투자 집중하는 LS·대한전선</t>
  </si>
  <si>
    <t>https://n.news.naver.com/mnews/article/016/0002547132?rc=N&amp;ntype=RANKING&amp;sid=101</t>
  </si>
  <si>
    <t>신성에스티</t>
  </si>
  <si>
    <t xml:space="preserve"> 북미향 'ESS 열관리 핵심 부품' 본격 생산…""2.5조 수주잔고로 퀀텀 점프""</t>
  </si>
  <si>
    <t>[프라임경제] 상상인증권은 27일 신성에스티(416180)에 대해 올해 12월 북미향 에너지저장장치(이하 ESS)용 수냉식 열관리 부품인 히트싱크(Heatsink) 생산이 본격화되는 가운데</t>
  </si>
  <si>
    <t xml:space="preserve"> 수주잔고를 기반으로 한 성장을 지속할 시기이기에 주목해야 할 기업이라고 평가했다.신성에스티는 ESS를 중심으로 한 이차전지 관련 부품 사..</t>
  </si>
  <si>
    <t>www.newsprime.co.kr</t>
  </si>
  <si>
    <t>정부</t>
  </si>
  <si>
    <t xml:space="preserve"> 10년간의 풍력 로드맵 발표 예정</t>
  </si>
  <si>
    <t xml:space="preserve"> 인프라</t>
  </si>
  <si>
    <t xml:space="preserve"> 금융지원 방안 포함</t>
  </si>
  <si>
    <t xml:space="preserve"> 대량생산으로 인한 LCOE의 기조적인 하락이 가능해져</t>
  </si>
  <si>
    <t>https://n.news.naver.com/article/277/0005669672?sid=101</t>
  </si>
  <si>
    <t>美 전력인프라 7조달러 시장으로 커진다""</t>
  </si>
  <si>
    <t>앤드루 올리닉 맥쿼리운용 글로벌 PE 총괄 25년된 美전력망 70% 달해 인프라 보강·현대화 수요 커 프로젝트 규모·복잡성 증가 전문서비스 외부위탁 늘 것 내달 5일 대체투자포럼서 발표 ""향후 10~15년간 글로벌</t>
  </si>
  <si>
    <t>맥쿼리자산운용에 따르면 미국 전력망의 70% 이상이 25년을 넘겼고</t>
  </si>
  <si>
    <t xml:space="preserve"> 유럽 배전망도 40% 이상이 40년을 초과해 노후 인프라의 대대적 보강이 불가피한 상황이다. 미국토목학회(ASCE)는 2024~2033년 미국 내 인프라 투자 수요가 약 7조4000억달러에 이를 것으로 분석했다. 실제로 미국에서는 지난 10년간 여름철 정전 발생이 2000년대 대비 60% 증가했으며</t>
  </si>
  <si>
    <t xml:space="preserve"> 이는 전력망 복원력 강화와 인프라 현대화의 필요성을 한층 부각시키고 있다.</t>
  </si>
  <si>
    <t>올리닉 총괄은 ""이제 인프라의 경우 도로나 교량 같은 물리적 자산에 그치지 않고 데이터센터</t>
  </si>
  <si>
    <t xml:space="preserve"> 스마트 시스템 등 도시 기반 시설까지 새로운 투자 영역으로 부상하고 있다""며 ""지능형 교통 시스템</t>
  </si>
  <si>
    <t xml:space="preserve"> 도심형 전력망 등 신시장 성장은 관련 기술과 전문 역량을 보유한 기업들에 대규모 기회를 제공할 것""이라고 강조했다.</t>
  </si>
  <si>
    <t>특히 인프라 프로젝트의 규모와 복잡성이 커짐에 따라 아웃소싱(외부 위탁)을 중심으로 시장 구조가 재편될 것으로 전망했다. 그는 ""AI와 재생에너지 확산은 인프라 프로젝트의 규모와 난도를 모두 끌어올리고 있다""며 ""이에 따라 전문적인 작업과 서비스를 외부에 위탁하는 경향이 강화되기에 전문 서비스 제공 업체들이 최신 기술과 혁신적 방법론을 도입하면서 인프라 산업 전반의 효율성이 높아질 것""이라고 설명했다.</t>
  </si>
  <si>
    <t>이어 지속적인 수요가 거래를 뒷받침하면서 인프라 인접 부문도 시장이 빠르게 달아오르고 있다. 올리닉 총괄은 ""인프라 투자를 이끄는 장기적인 구조적 흐름에 따라 인프라 인접 투자가 촉진되고 있다""며 ""지난해 북미·유럽에서만 이 분야 인수·합병(M&amp;A)이 약 1000건 성사됐다""고 말했다.</t>
  </si>
  <si>
    <t>https://www.finance-scope.com/article/view/scp202510270011</t>
  </si>
  <si>
    <t>삼성중공업</t>
  </si>
  <si>
    <t xml:space="preserve"> LNG 화물창 '기술독립'…""한국형 화물창 KC-2C 시대 열었다""</t>
  </si>
  <si>
    <t>수십 년간 해외 기술에 의존해 온 액화천연가스(LNG) 운반선의 핵심 기술인 '화물창' 분야에서</t>
  </si>
  <si>
    <t xml:space="preserve"> 삼성중공업이 상업 운항에 성공하며 기술 자립의 새 시</t>
  </si>
  <si>
    <t>www.finance-scope.com</t>
  </si>
  <si>
    <t>https://www.edaily.co.kr/News/Read?newsId=03240646642337184&amp;mediaCodeNo=257</t>
  </si>
  <si>
    <t>SAMG엔터</t>
  </si>
  <si>
    <t xml:space="preserve"> 캐치!티니핑 6번째 시즌 30일 공개</t>
  </si>
  <si>
    <t>SAMG엔터(419530)테인먼트는 인기 애니메이션 시리즈 ‘캐치!티니핑’이 이달 말 여섯번째 시즌을 시작한다고 27일 밝혔다. 프린세스 캐치!티니핑(이미지=SAMG엔터테인먼트)여섯번째 시즌인 ‘프린세스 캐치!티니핑’ 첫 에피소드는 30일 오후 6시 유튜브 티니핑T...</t>
  </si>
  <si>
    <t>www.edaily.co.kr</t>
  </si>
  <si>
    <t>https://www.mk.co.kr/news/politics/11451693</t>
  </si>
  <si>
    <t>평양 ~ 개성 고속도로 정비 판문점 회동 실무준비 정황 - 매일경제</t>
  </si>
  <si>
    <t>北최선희 외무상은 러시아행""미북회담 의제 조율"" 해석도</t>
  </si>
  <si>
    <t>www.mk.co.kr</t>
  </si>
  <si>
    <t>&lt;다른 투자자들&gt;"</t>
  </si>
  <si>
    <t>#특징업종, #주요일정, #04, #39</t>
  </si>
  <si>
    <t>https://postfiles.pstatic.net/MjAyNTEwMjdfMTU3/MDAxNzYxNTY5MzIxNzUy.nDHG4S-9Vav2XM1ddcY4Wlw9OLaJkGwJ9sCt_xFhDdMg.KUmwFm7SeqcAvUUN8mr-T-LND-VbES_K_kaVpkPRcbsg.PNG/image.png?type=w773|||https://dthumb-phinf.pstatic.net/?src=%22https%3A%2F%2Fimg1.daumcdn.net%2Fthumb%2FS1200x630%2F%3Ffname%3Dhttps%3A%2F%2Ft1.daumcdn.net%2Fnews%2F202510%2F27%2FNEWS1%2F20251027073814428smkw.jpg%22&amp;type=ff500_300|||https://postfiles.pstatic.net/MjAyNTEwMjdfOTAg/MDAxNzYxNTY5NDA2NTE4.t2IlGkpUzsutF610V_kgXgBnquOYmrOCJClbibYf5e0g.B8MpKQ8m0kYxSFYQR5n4nQsLuU1ID_NDWDaNEVJx1pUg.PNG/image.png?type=w80_blur|||https://dthumb-phinf.pstatic.net/?src=%22https%3A%2F%2Fimgnews.pstatic.net%2Fimage%2F123%2F2025%2F10%2F27%2F0002370661_001_20251027145010707.jpg%3Ftype%3Dw800%22&amp;type=ff500_300|||https://postfiles.pstatic.net/MjAyNTEwMjhfODkg/MDAxNzYxNTc4OTI3MTg0.BnXkmOz5K1BExrvLoidbT0Y445TIJF87r2j4F0G0rCQg.ThDnbWsf9TnICMHESVkQFiOogf-VwMRY7TQuDt6d9Rcg.PNG/image.png?type=w80_blur|||https://postfiles.pstatic.net/MjAyNTEwMjhfMjc0/MDAxNzYxNTc4NjQ4MDU1.BLK9ug8RIf2xSy1Qq8amNBZmhleOKMq58m-gkI0VQWog.d95eqgmJuqJLnZcf2_uSMq1tp-yPZqDCc3BWI4EiUewg.PNG/image.png?type=w80_blur|||https://postfiles.pstatic.net/MjAyNTEwMjdfMTE3/MDAxNzYxNTY5NDMxMzA3.TJRCuZZxBOFe_Dpfrv-NRa7WKY-ZAh90A-zjqidki5Qg.3yTA1sfB0vqswjZI202fNUtR8VRmVXrLzulyH1m2XLgg.PNG/image.png?type=w80_blur|||https://postfiles.pstatic.net/MjAyNTEwMjdfMjU4/MDAxNzYxNTY5NDQ0OTI5.cIO7FIC8F1sz7mHfZq19KfV2UGOehEg7ATarBulaKAsg.-sVQApwMtGWG8_zQ4YdtE7Gkh7O841XfHfvE-la1g_sg.PNG/image.png?type=w80_blur|||https://postfiles.pstatic.net/MjAyNTEwMjdfMjY4/MDAxNzYxNTY5NDY3MDQw.nVc6ymSyXFz7WmErAxBRWtOMpc0X60NwOS_bEbpOPBUg.JuzQRm_4D_E2zO0VT3qDb7kYOBtbhA7dXgc8VaraiWMg.PNG/image.png?type=w80_blur|||https://postfiles.pstatic.net/MjAyNTEwMjhfMTY1/MDAxNzYxNTc4NjIwODI2.fsbXc5vPPBsez2wn0rhpbnLZQnObiR0Hz3QyvhtpLsYg.AAv6oTqbKGzrLC1atQpFDkN4HZxA82UKXBGcJAsiaQAg.PNG/image.png?type=w80_blur|||https://postfiles.pstatic.net/MjAyNTEwMjdfMTAw/MDAxNzYxNTY5NDc1ODQy.Q_xVqqKTFYKAhftEIEv1Q3V4CfsVKTOwj8KDXX6CjnUg.Y0UYBggSyGcyZF7cp6h528v9mUCsrNZmDaqAgn1HgFIg.PNG/image.png?type=w80_blur|||https://postfiles.pstatic.net/MjAyNTEwMjdfMjg3/MDAxNzYxNTY5MzQ4MTEw.rCFxjkQTRaW_QPqh8rjx6LZNDzaO7TA4KRInNLoumrcg.0gseGfirDs14XtBxB9NMd2ww2Q1J0NisYbUrmJyMJzYg.PNG/image.png?type=w80_blur|||https://postfiles.pstatic.net/MjAyNTEwMjhfNjIg/MDAxNzYxNTc4NTk5ODE5.WRZuqWeONj6t6AHkPM-LtcBzrsCJ8gBDYv2uCTVNfsUg.Lb9ZPvZuZiiCyEouBkiCddeHlwdN5P4s786wYKEo5WEg.PNG/image.png?type=w80_blur|||https://postfiles.pstatic.net/MjAyNTEwMjdfNTAg/MDAxNzYxNTY5MzM4MzQ3.7wwMhr7NaCPkouJbiehNujo-9lQ3IlkFCdwwYEK-mgcg.nkeTW8olHOXRnlnk9j_9LkRMrScc1Jy3N1bZkaEVtEEg.PNG/image.png?type=w80_blur|||https://postfiles.pstatic.net/MjAyNTEwMjdfMTIy/MDAxNzYxNTY5MzU2NTQx.R-MTvEs-8QH3a3vVqtIHam0pHuVgtbojoYllb6OIongg.B0wJnNrjpmE7EdYtU0rOIUKwqxwf0mrB_NSGvx8DjPUg.PNG/image.png?type=w80_blur|||https://postfiles.pstatic.net/MjAyNTEwMjdfODkg/MDAxNzYxNTY5OTM1MDM3.b0tWMxvJlmhRqXIlq3flj1Ovg63kniP4gPufOPdnSQcg.8Z2c9-MAV2XvwLYS3tOO8Y0KdRztwGYcqFYUs7BYZvEg.PNG/image.png?type=w80_blur|||https://postfiles.pstatic.net/MjAyNTEwMjdfMjMg/MDAxNzYxNTY5MzY5MDgx.FFngZXEJz08lABHgVRp7_BMik3DjKL0PM-WGvpTKmT4g.3fpQH1OVacUDtwv48coKD4z0K5BEvrA_vLBVacuLoRsg.PNG/image.png?type=w80_blur|||https://postfiles.pstatic.net/MjAyNTEwMjdfMTcz/MDAxNzYxNTc1NDUwNjgy.F2bJ9oOJoSbHoBgK9EOoTvt0OACidMJ3X8IZ6NwdVtgg.OC7uJF_WEMqLk2XmX5hmbZuLBfiHIdc453O1lKbVSmgg.PNG/image.png?type=w80_blur|||https://postfiles.pstatic.net/MjAyNTEwMjdfMTEy/MDAxNzYxNTc2MjI5OTMz.aeCvTDzrQO0zsG_GkoXx3KGcdDwm-dq8AyVB_SzFsRwg.3phdRM-6bn2GTBZwG3XF1lV4JSMNOzYbgPfdQK5Ka7sg.PNG/image.png?type=w80_blur|||https://postfiles.pstatic.net/MjAyNTEwMjdfMjQ2/MDAxNzYxNTc2MjM0MjU5.pqVzbhCzLUlQYhsVgBzBiPQ7fzVs9G-E8mgm3qNr5ywg.g62GI-5r5NOycgl3Fdhx5bJgtLv_4sPr8b2WcNcm8U4g.PNG/image.png?type=w80_blur|||https://postfiles.pstatic.net/MjAyNTEwMjdfMjY3/MDAxNzYxNTY5NDk3MTc4.r7KREMsGHQHrWhJruyQ4L107NVxj1_XxSb12EAkDw80g.miDn6l7GCO4TcguRKisEqh8kF4a7yPBQS21x-gemhnkg.PNG/image.png?type=w80_blur|||https://postfiles.pstatic.net/MjAyNTEwMjdfMTg3/MDAxNzYxNTY5NTA1Mjcz.zPzpbVw56NYqMvrGpY7pYYHe7tHfQ-xegmdBW77JTgwg.n1jjY9FMMV7uL-vCJlv_UQM8v5EP_UIDthZv6vW2T3gg.PNG/image.png?type=w80_blur|||https://postfiles.pstatic.net/MjAyNTEwMjhfMTIx/MDAxNzYxNTc5NTIzNTg2.e8gzGajWIiZyip9cq5M_S7JLNRuT-T47DgtO-Cg7x3og.poVQ9gdaHXcTtyICfvVcMuYuZk14I44LP3G8_avP1F4g.PNG/image.png?type=w80_blur|||https://postfiles.pstatic.net/MjAyNTEwMjdfNSAg/MDAxNzYxNTc1NDM1OTkw.q_sCkRW9b_9ewaqx4IeCcYvTQ0VMH_XY8Rt10XNYWw0g.14gn9tz9my9mIuY4rXmlgxTQMnbzLgVYJth6mZb3pFQg.PNG/image.png?type=w80_blur|||https://postfiles.pstatic.net/MjAyNTEwMjhfMjM1/MDAxNzYxNTc5ODE1NDU5.i1OeoAhvNrgaBMksNTuWosaTfKENxjKE3ottPzssPvIg.BSZ7ikPmja7sIe4-oRqAsZgmbuscsPLKpjAvMd-fmqog.PNG/image.png?type=w80_blur|||https://postfiles.pstatic.net/MjAyNTEwMjhfMjk4/MDAxNzYxNTc5ODI1OTc0.bghGbr6N2QAvPEp-uM_I6IG3zexrxpVmKIuHT_Z7A80g.PTZql_PB6x250qUqp3wpt4mWTBMVEEp1HsLdegoUctEg.PNG/image.png?type=w80_blur|||https://postfiles.pstatic.net/MjAyNTEwMjhfNjAg/MDAxNzYxNTc5ODM3NDQx.rUx5s3JgT4Gz18UqWVxSfd_KrXMRRHtciKuiygCPbDwg.4lCw0WnC-8F0kw_11vkMhjJHtnXBjtij-JjeeN51oKcg.PNG/image.png?type=w80_blur|||https://postfiles.pstatic.net/MjAyNTEwMjhfMjAx/MDAxNzYxNTc5ODQ4Mjgx.6pI9tAcbmEE5EAFhi9r6UCzKIbSIjCQM0uHFJ5q5QrIg.T8jYh_w05Mcx52WmFDFxUf07NVDYSLDRK58iDKvXpc0g.PNG/image.png?type=w80_blur|||https://postfiles.pstatic.net/MjAyNTEwMjhfMjE0/MDAxNzYxNTc5ODU4ODQ1.hzfNkOfnRAqvrWhaZQTrEhX5e_TqPKOtAim95SgLn_0g.Fp77epRfhSboBftM79Ic9d0lsp9XsWUA3rJwJ0izAvsg.PNG/image.png?type=w80_blur|||https://postfiles.pstatic.net/MjAyNTEwMjhfMTE4/MDAxNzYxNTc5ODY3OTgw.T60KGgHEcHgKgaG2mNpyp97a4j-mOnJMRg0z5p_qv-Eg.hKL5C4KseOMw-L97_bnh2xlXgQB7PTq3SwwBqS45O4Eg.PNG/image.png?type=w80_blur|||https://postfiles.pstatic.net/MjAyNTEwMjhfMjA1/MDAxNzYxNTc5ODc2OTA3.ZhkgPfY35byR9r_DKtZwVOHzXZqcw3OMOfY3XAsV3Gwg.JjUFUKtxSeuXJILzxbu3l7bQVUlSwmxqM3zmAb_Wqmgg.PNG/image.png?type=w80_blur|||https://postfiles.pstatic.net/MjAyNTEwMjhfMjA4/MDAxNzYxNTc5ODg2NjI3.DpA83CDRw0HpPZ15j6R3axMT3YXK8xFlyaBvx-cjU6sg._HDZlIK6v5qRk263xdwLsl0RHIrNVFrS2ahVBLx7FuUg.PNG/image.png?type=w80_blur|||https://postfiles.pstatic.net/MjAyNTEwMjhfMTA3/MDAxNzYxNTc5ODk1MzY0.bm0Dpt5zbVYuh3Ng-7rppQ7MDoU6JiJ8Npof_tq2G-8g.INozNdFkTJOC9RhbzfBuXrBDVcmTxLftDbQiPfFdKjEg.PNG/image.png?type=w80_blur|||https://postfiles.pstatic.net/MjAyNTEwMjhfOTMg/MDAxNzYxNTc5OTA1NTAz.JdzCxFheIfZAvyJ-xp8JwEuO7hwnHmfY4gk2ax2KBLYg.CkRHrqJd5Z2SLqJB5C9y3OpH83hfYov4IH_GCiBPAngg.PNG/image.png?type=w80_blur|||https://postfiles.pstatic.net/MjAyNTEwMjhfMjMg/MDAxNzYxNTc5OTEzMzA3.gCE6YSe8iyyRnJnWp2XcUGCugeFhdFGLJLGLwuDz444g.Ixg6DrHDdkBG8BoAo9LLV30wqgSCeGvqZ5BAItbZlysg.PNG/image.png?type=w80_blur|||https://postfiles.pstatic.net/MjAyNTEwMjhfMTM4/MDAxNzYxNTc5OTMxNjE4.uaGmMmKdzSSR5xGVZvR119e5wX6s3ESmQPvWIHeMkFcg.EEn99rER7zVqg7dw-WNatyITexIE705bsOl0BQ6ZjWAg.PNG/image.png?type=w80_blur|||https://postfiles.pstatic.net/MjAyNTEwMjhfMTc1/MDAxNzYxNTc5OTQxOTEx.c6rk714muhD0n8n_MaDiFP_ozwBdwOVsoy867T19Eo4g.DciahRI-FgmNSX422uWPflSlfd6FTvTcZMUaGKqanygg.PNG/image.png?type=w80_blur|||https://postfiles.pstatic.net/MjAyNTEwMjhfMjQ5/MDAxNzYxNTc5OTUzNzQ1.4lQRv1WnMzcvtGQOYIXCy51YAUt1UhLmc2XTPZ2eL0Ig.V_k5CDYIHei4Hc7LiqbcTtL7R0MuEeaWvrqpMMHNvNcg.PNG/image.png?type=w80_blur|||https://postfiles.pstatic.net/MjAyNTEwMjhfMTI0/MDAxNzYxNTc5OTY0NDky.NRmSJZeR9lMixkcO3T7lXTDI5wXIPN-tLqy54WQKmwQg.i2dPkDbR5eD16zNDNM1j9ZsCVAqQDw8X5l8MFMZolRsg.PNG/image.png?type=w80_blur|||https://postfiles.pstatic.net/MjAyNTEwMjhfMTEz/MDAxNzYxNTc5OTczNTk2.Sa1NjPe7sJxErJBu5rQuL2HO_zX_jys4KhGPvXGlIFMg.UjG9i2P1SbnqvjB6cEWCJFM5kiSknO_P1g6M6Gnd6IIg.PNG/image.png?type=w80_blur|||https://postfiles.pstatic.net/MjAyNTEwMjhfMjQ1/MDAxNzYxNTc5OTgzNjQw.Pz5rlU0pUGzNTc3XUhM_wpuqrdLPBx6N6g1VOTz5M5Ug.v1EBzGhxB3Gqi3v31oq06jw5itmTDHrdd0woNNapO4sg.PNG/image.png?type=w80_blur|||https://postfiles.pstatic.net/MjAyNTEwMjhfMjg4/MDAxNzYxNTc5OTkzODMz.B9sK4VmFeNrvtxJrpl3ef-qhuBJS6HaIFRE0uZor0mIg.xy6yS7X1rEiI0ZaM_eE09RVJViskV6PsGZvL1abDo5Ug.PNG/image.png?type=w80_blur|||https://dthumb-phinf.pstatic.net/?src=%22https%3A%2F%2Fimgnews.pstatic.net%2Fimage%2F009%2F2025%2F10%2F27%2F0005580009_001_20251027201512675.jpg%3Ftype%3Dw800%22&amp;type=ff500_300|||https://postfiles.pstatic.net/MjAyNTEwMjdfMjEg/MDAxNzYxNTY5NTY4NjYz.zAgdjw9Q4SsVnOr4yXIYIlrBo0GjVfoh6HSo5h19j6Eg.msO3d0BgdfHLrmmGnABnGld3JbYl2_DYu6FirQKd7nsg.PNG/image.png?type=w80_blur|||https://postfiles.pstatic.net/MjAyNTEwMjdfMTc2/MDAxNzYxNTY5NTc4NTUz.ZEldWnlq2ST0sS1rzVDLaay4aQ3TqXTd_A4RzR9Fy1og.coVyuEQ_SJKvVLMIsdZUjqA6xTaadRCEbDWImqwdQTgg.PNG/image.png?type=w80_blur|||https://postfiles.pstatic.net/MjAyNTEwMjdfMjM0/MDAxNzYxNTY5NTg3MDE3.9K0mqMd26SKqKefmxQq92eFLtrmzy92jsqM19-tYaAYg.UL2SkGILSPipAbpxVmUldF-EqLZ1eTCa6bc0CkvLgGEg.PNG/image.png?type=w80_blur|||https://postfiles.pstatic.net/MjAyNTEwMjdfMTIw/MDAxNzYxNTcwMDU3OTU1.Fuxs2F6YFRbpbiGjSR8sjQFHg0SuxuvZlexqIvrrUocg.EezSbUxyKrhGHeVoZ-upzveoHz_RsWDg8afu-7Jd6CUg.PNG/image.png?type=w80_blur|||https://postfiles.pstatic.net/MjAyNTEwMjdfNjkg/MDAxNzYxNTc2NTc3NjA4.dAdSDrEfEE60f7NaFbGFUg_XfLmbapcuwt-pxOthKlMg.I5Cf1bdjPH301Mp3yRXWhyJMlqfbVGMaOoxf3T_lD-Ig.PNG/image.png?type=w80_blur|||https://postfiles.pstatic.net/MjAyNTEwMjdfMTc1/MDAxNzYxNTc2NTg1MTY4.lUXkuXaRXtPlgvMKS9YWGI-JZgi4eXnw4Kidwc9ugG0g.n5t66h12bZdNNhiZ2Oy_Xr1uKB5B7xlhQAhszZOwhFwg.PNG/image.png?type=w80_blur|||https://postfiles.pstatic.net/MjAyNTEwMjdfMTkw/MDAxNzYxNTc2NDY1NzEz.Qw7t54w5mqLpDjbtljnkW5iKZeZTvjWxa4_5ur9YtyEg.YTh-bJfvwikm5n_q_jjGwCazRS8zBW645hol3diA-Gwg.PNG/image.png?type=w80_blur|||https://postfiles.pstatic.net/MjAyNTEwMjdfMTk1/MDAxNzYxNTc2NTEwMTM2.AAWFkcipasNWpDQjPi0zRYxG8nYN-QUhbUFszPkT9ZQg.jYJ7HqROm1ao1YFvVGbVd4FmPxvPavujU1vZL6UQSTIg.PNG/image.png?type=w80_blur|||https://postfiles.pstatic.net/MjAyNTEwMjdfMTgw/MDAxNzYxNTcwMjQzMTk0.DggwflX5EbwQParrGxYGmg6TTGH9GBM7Z0aqo611gkYg.tC7_H1D3kusdIdg7GTlisz_u3vZeCVfFRiPqJqZhHc8g.PNG/image.png?type=w80_blur|||https://postfiles.pstatic.net/MjAyNTEwMjdfMjUg/MDAxNzYxNTcwMTI5NDIz.AVgY9npT3f0Ye5dwFL6322C2A-H3S6uGQZeBnNNFfUUg.zcBT3wDDj5MP5_cicGAplFjZ_XASipaXNNUla8NkjuYg.PNG/image.png?type=w80_blur|||https://postfiles.pstatic.net/MjAyNTEwMjdfMjA0/MDAxNzYxNTc2OTA4NTcw.5j-OPTtW9djcxnO4yjPZ6vtk0NuLp6gD8NZWSPf4nmEg.fseeQQl63CdQiWw5GvQVOqFIz5urFw-2oBIPDA_Rzzcg.PNG/image.png?type=w80_blur|||https://postfiles.pstatic.net/MjAyNTEwMjdfMTMz/MDAxNzYxNTY5NjI5MTU0.CNaeuyZnAJju7JG1HIa-8oReJ_IFypRvLSwgKb2mdywg.NXjbQ8cHmOlfjDyG5VOJdVEh7crkuljz0jKv5W3Db20g.PNG/image.png?type=w80_blur|||https://postfiles.pstatic.net/MjAyNTEwMjdfMjM3/MDAxNzYxNTY5NjM3NDEw.2t72DutpnXYZEV5z0t5ZsF93CigzPqX6w29gmHfb5fgg.Y7JjaT3MaAFHgfAMD3r81h0QPvaXvqmW_lvpXPYfiYsg.PNG/image.png?type=w80_blur|||https://postfiles.pstatic.net/MjAyNTEwMjdfMjkx/MDAxNzYxNTY5NzAzMTc2.ZNhbpU2kn8DoHQIfd4OBUlF25CdHmNKYZRceacElg48g.CSuoDltDJoLyGpUvYN2QTxcICy5cWQW9kmJo2tes25kg.PNG/image.png?type=w80_blur|||https://postfiles.pstatic.net/MjAyNTEwMjdfMTgx/MDAxNzYxNTY5NzEyMDg4.SOmRkJVk_cVq7LpcZl-BN_6hAm4P5oHyYATKLeD7yOwg.xaVl9723mdj6bNSQJ1g8lxQu4PCbVWFKNWlib3agEQ4g.PNG/image.png?type=w80_blur|||https://postfiles.pstatic.net/MjAyNTEwMjdfMTE4/MDAxNzYxNTcwMzc0Mzg4._v_rf1SoYcnou76Gq6te-oNFZ1NWBdOG1nBVMQQjQHwg.B_X0NoZwwqQGBLHWyVWhIB7Ud6SVST-F3EQigYmbplEg.PNG/image.png?type=w80_blur|||https://postfiles.pstatic.net/MjAyNTEwMjdfOTEg/MDAxNzYxNTcwNDg4NTI5.gBwm1pSzD1SCsNwD0JeBMVO8lHfwRCImbbE4vXx80Ksg.cxDA_KLeCCOa-1JZixwjojwGOna5ys_mkmngDPnKl2Ag.PNG/image.png?type=w80_blur|||https://postfiles.pstatic.net/MjAyNTEwMjdfMTAx/MDAxNzYxNTcwNTA0OTM0.MXXMyBz45Kj4JNZMsVZv2VW8LT1EINEzlcwzSDHtzkcg.uA-WQSLujBCiPJLc8sm8tAzwvP9Xwv77P0vV8g61ov4g.PNG/image.png?type=w80_blur|||https://postfiles.pstatic.net/MjAyNTEwMjdfMjAg/MDAxNzYxNTcwNTE0NTQx.FWvSGvMYF1u1di3WSLEj-X-wasVmSE25iiWOzAeyX-sg.l7_l7nlcmS_2gDqV2-G78zh1NXlkgna1KPFm0qi3syEg.PNG/image.png?type=w80_blur|||https://postfiles.pstatic.net/MjAyNTEwMjdfOCAg/MDAxNzYxNTcwNTIwNDY0.ZtkO3o30tB6QEiyzuR1VWWAtfVZu3lYScA0Ypog___Ug.C7UngxNcMiCR1aiddOiL77EwQ_oFq1n2VtBXXtf1Gzgg.PNG/image.png?type=w80_blur|||https://postfiles.pstatic.net/MjAyNTEwMjdfMjE3/MDAxNzYxNTc1ODQ3MjEy.49hZQ-tPGIGJLWal5JANmK6bUs5zcp0BR2lOt0vP4REg.3gPUh0DLFlFeojJ1HTT5h9K5rQeVvSdlmh9-z27bJ64g.PNG/image.png?type=w80_blur|||https://postfiles.pstatic.net/MjAyNTEwMjdfMTkg/MDAxNzYxNTc1OTM3Nzc0.gVKIk3QsYoX1npR1g4Ba8Kj6GHFE3Rc5Baw7QH0Pk0wg.YCIqfw-Ic0U6uG47AOS3P9KeVUR3Rzq7NrcLw4aPqF4g.PNG/image.png?type=w80_blur|||https://postfiles.pstatic.net/MjAyNTEwMjdfMTQy/MDAxNzYxNTc1OTQ0NTAx.HejRJFPDHFiJmF9fBtSxphaQSWTkNRpWXHXmilFFsOwg.qcIsc1PxzoYJ0a2bpitZx2kDQX8_44V0Ko6e9PwWJGgg.PNG/image.png?type=w80_blur|||https://postfiles.pstatic.net/MjAyNTEwMjdfMTAy/MDAxNzYxNTc2MDU3MzUx.jkdXj449tA0IbKA7kZhSTvRUqEnRJFO03oB60j-VkZkg.qj3K9UTrMOA1-9RrHyxT7FR6UtlYIkBkuPbnQAkfuVMg.PNG/image.png?type=w80_blur|||https://postfiles.pstatic.net/MjAyNTEwMjdfMjM1/MDAxNzYxNTc2MDY0ODc1.Rti0EeYOAGtBZAwP9XEPZ7EV4VDLUxb8o90ma7bT2UUg.6OTl2pv0XPxx1OS7cqoWUxqYfYMFbxobqjAu7J1qAakg.PNG/image.png?type=w80_blur|||https://postfiles.pstatic.net/MjAyNTEwMjdfMTI4/MDAxNzYxNTcwNjQyNTg3.3yTsuxjfMoaNcv7VHvdKECxjK4aCBfi3eziy6IEh1NQg.p3T1FKeWDm0vDzXEFjnH82oGt0bmMh1u0ouuFrK6A98g.PNG/image.png?type=w80_blur|||https://postfiles.pstatic.net/MjAyNTEwMjdfMjk2/MDAxNzYxNTcwNzY4ODc2.Fc8PqbIcIUiXXlHVf5Wu1YyBj8BZj-SF9QF-KDxyiDkg.Z6aQlDOoCtiOfZe4HrP_O_XDr9jWZ6tzImW0ZMIJarMg.PNG/image.png?type=w80_blur|||https://postfiles.pstatic.net/MjAyNTEwMjdfMjM5/MDAxNzYxNTcwNzc3MTY1.wyxLO9ppQ2tvImnaT8C_e0X-QsnxEzuaJJ25VAmuwhEg.XCjyKRFyxciSUGEylDKILTTyBCbDXvplN1NF01yG5Psg.PNG/image.png?type=w80_blur|||https://postfiles.pstatic.net/MjAyNTEwMjdfMjQ5/MDAxNzYxNTcwNzg0MDI3.cPqWNcWGiCjOLI2OKb_XMl9hrRclE21_mn8XlqLhEB8g.Uj4amAm_sVUOPzw1zNFO1KUDaSX9qHMFtzXglk5lgdog.PNG/image.png?type=w80_blur|||https://postfiles.pstatic.net/MjAyNTEwMjdfMTg5/MDAxNzYxNTcwNzkzNzY2.KcHz-fwHRDv74qtfIH2UQsAMkZdLWsmIfjww1Kc5vpsg.7wj2S5UjnSW72XWqDkp0mO0u5mgf8CpygrDac33Axdsg.PNG/image.png?type=w80_blur|||https://postfiles.pstatic.net/MjAyNTEwMjdfMjI3/MDAxNzYxNTcwODA0NjY5.aB3w4UOLbXjwiMv-zkSRNnfZdyCw7OHlWbFSozIV82Yg.zt6SvzBAfLeQnC8b9QyxsBbZi-Dy6IQTBVICrlGsVygg.PNG/image.png?type=w80_blur|||https://postfiles.pstatic.net/MjAyNTEwMjdfNjMg/MDAxNzYxNTcwODE0MDUy.hBytw6ry6HcSwZcG2dt9g-vuJQeh-6lz9CvKnU6Ewd0g.LcxjJTn6jxKSmILSz1WrojGxnaqWZJxkDWi2JO0QXacg.PNG/image.png?type=w80_blur|||https://postfiles.pstatic.net/MjAyNTEwMjhfMjgg/MDAxNzYxNTc4Njg2ODg0._e1xrsvPVY_4AnbAyI2Vw3g4ttjpQWgo9nWhmM9iv0gg.QXoo5l3B0WRqKwu4aHBEH_PXi8BOfAdl6baaC9dNsgYg.PNG/image.png?type=w80_blur|||https://postfiles.pstatic.net/MjAyNTEwMjhfODUg/MDAxNzYxNTc4NzAyNzMw.MSmtbCI3PLka6bVmox4MwxlH_jotXfETdE9DW_6zEZUg.sSTmi7pto55aqLjTMIiBi_tsuJYlRHcFS1wUab9pBmcg.PNG/image.png?type=w80_blur|||https://postfiles.pstatic.net/MjAyNTEwMjhfMTEy/MDAxNzYxNTc4NzE4Nzk0.fMp_6ZfvUZMnZV5E8A24BYWPvNn7oz0GfTh2XIS99_sg.WDbelP0rXatSyfB-0llzeSTat77XWASGwcp-bYJJJZ0g.PNG/image.png?type=w80_blur|||https://postfiles.pstatic.net/MjAyNTEwMjhfOTcg/MDAxNzYxNTc4NzI4Mjc1.Mwc_c9nBzBH3iHHjjN_vb9CBUj18MtxOo3xy26TuLhwg.EoOJG8Ccbhre0pLtw1n53_UGfbJkbEBjhC5L_EjhJ4wg.PNG/image.png?type=w80_blur|||https://postfiles.pstatic.net/MjAyNTEwMjdfMTI0/MDAxNzYxNTcwODU2ODQx.rq2ErV-IFJE0zUr7vmpgIcs44xukFYRRI51ow9Z8FdMg.wkPy2NKrwdu4wM0QqCvpXOvOu6oBLq6C2ucLQwJu-J0g.PNG/image.png?type=w80_blur|||https://postfiles.pstatic.net/MjAyNTEwMjdfMjc4/MDAxNzYxNTY5NzgzODky.0TLi0QhiHus49BaGOMjmPDfhnoujwiiGxtJiBPq3GUAg.-8fTsqFNxNl_9ozscZFU3kjaYajCJ6QfhT6ioDhJ5Qwg.PNG/image.png?type=w80_blur|||https://postfiles.pstatic.net/MjAyNTEwMjdfMTk3/MDAxNzYxNTY5NzkyODkz.z0DCqxkbeJWUZrKDXKzZh09WyNnn1aumFLxp9gFX6Ycg.PBgfPK-WyNJuDCuOG6_lJqjL8Er6TzQjLCO0TI2JBosg.PNG/image.png?type=w80_blur|||https://postfiles.pstatic.net/MjAyNTEwMjdfNTIg/MDAxNzYxNTY5ODAxOTEx.vKqNRHRjXJl4mTo6xTXeh6WBURtgGDPFXXS8Hs3__d8g.I0O3DsS3cPBHYzdovRm8JI4UJZVXqWghx7qaC_i9WGog.PNG/image.png?type=w80_blur|||https://postfiles.pstatic.net/MjAyNTEwMjdfMzMg/MDAxNzYxNTY5ODEwMDA0.YIgi7lcZktPVG6gXh2jM4f-1Xqca6ZTV_IcviSsRws8g.HfNTI68N3kUr5fGiwyRZ2h-klOya_eeM5VTDKeAwSOsg.PNG/image.png?type=w80_blur|||https://postfiles.pstatic.net/MjAyNTEwMjdfMjUy/MDAxNzYxNTY5ODE4OTk1.-selLs6kx-J3c-9QzyC_xmXqfign13jdU8bEUjdzN8Ig.K-O5U0tpYP9HK-ATKXzheeu39CmhYlha83shusABO_Qg.PNG/image.png?type=w80_blur|||https://postfiles.pstatic.net/MjAyNTEwMjdfMjI0/MDAxNzYxNTY5ODI3NzM4.X5toWG44QGWxcdbUk8bBM-ZvdbQH8T_gLmZH8JG72gkg.lDyaXoh3_YdF30eAe8z9VsY6jYCtWxanmzBF7vCstAsg.PNG/image.png?type=w80_blur|||https://postfiles.pstatic.net/MjAyNTEwMjdfNTQg/MDAxNzYxNTY5OTY0NDMy.NWyp8kn7MTaKiUY3bL1gAKaM6TJRXCsrM_cYVBpG7V4g.6ENBhYmSW6hwfyGPfEJdsgxUXIcd5FHy8Y-AKrEonBcg.PNG/image.png?type=w80_blur|||https://postfiles.pstatic.net/MjAyNTEwMjdfMjQy/MDAxNzYxNTY5OTc3NTAz.HiChgPq_RwtQqVRMW6VD-Ud8N8jyAB2WxNHLLN-JOcsg.WNTn5peAqiBSEKhcEps-ATl56vrqne5kxfetLa4a1Vkg.PNG/image.png?type=w80_blur|||https://postfiles.pstatic.net/MjAyNTEwMjdfMTA4/MDAxNzYxNTY5OTkzMzk1.3WsrYW_LoE4pDiDQXKDkzF7Xjoa-u4rXaPGxgTEwnlQg.V9x1XW0LStooqPImvGSJgKQKDdj15TyvsXhUP4PnDA8g.PNG/image.png?type=w80_blur|||https://postfiles.pstatic.net/MjAyNTEwMjhfMTAz/MDAxNzYxNTc3OTQyNTMz.mYI4A4rfzA6goWbsPWtqyeDN7ABQ8ISAxq93EfFZRcMg.qa4hhmjfr5dr-3-4zFyTGcHzit_amp9xPXwGimpSpAUg.PNG/image.png?type=w80_blur|||https://postfiles.pstatic.net/MjAyNTEwMjdfMjAy/MDAxNzYxNTczNTA0MjY3.wKn8si9E7E-jI7KLT06i7NJlzXf44RaGKq36lJDVhS4g.TL1f1721hDQQ5qYywUIUS9r4lOQ10iDbz4oEBxObGmQg.PNG/image.png?type=w80_blur|||https://postfiles.pstatic.net/MjAyNTEwMjdfMjA3/MDAxNzYxNTczNTcwMzYz.swx0W4JYVrEaE61kqPIAFeStHbqvK7dp1G1MwYTk5YAg.XvPIUH01sNB-DOu0FB9HmRmXnyvK2ab0j0WPmoTXLEAg.PNG/image.png?type=w80_blur|||https://postfiles.pstatic.net/MjAyNTEwMjdfOTcg/MDAxNzYxNTc0NjkzMTI2.D7KC7y4JHEGOuq4M4FqqlTiSefO6-DgWXpbpckaGKOcg.nFMs6KmpzMXjfHOUW8lmcgMev_L6_chEcV_09WLpUhEg.PNG/image.png?type=w80_blur|||https://dthumb-phinf.pstatic.net/?src=%22https%3A%2F%2Fimg.hankyung.com%2Fphoto%2F202510%2F01.42169104.1.jpg%22&amp;type=ff500_300|||https://postfiles.pstatic.net/MjAyNTEwMjdfMjA4/MDAxNzYxNTc1MDIzMzA1.mUIbdYzrNgVDxjGaZ8_Xx7IfHsm9qlR568NtSv_kI6gg.Qyiqpt9Mj7rfO2En-imKju8GeXioVjocrDkq1Amne3og.PNG/image.png?type=w80_blur|||https://dthumb-phinf.pstatic.net/?src=%22https%3A%2F%2Fimgnews.pstatic.net%2Fimage%2F011%2F2025%2F10%2F26%2F0004547740_001_20251026110812758.jpg%3Ftype%3Dw800%22&amp;type=ff500_300|||https://postfiles.pstatic.net/MjAyNTEwMjdfMzkg/MDAxNzYxNTc1MDY1Nzky.nMZyJ8wR3yKN629nIYUz_NYLUoy4NWIiwFzV0qXVbaAg.H26caqjlu3w5TPGLYCG-jBet3DAgXlJu4dwSo0qCKBEg.PNG/image.png?type=w80_blur|||https://dthumb-phinf.pstatic.net/?src=%22https%3A%2F%2Fimgnews.pstatic.net%2Fimage%2F011%2F2025%2F10%2F26%2F0004547787_001_20251026195115377.jpg%3Ftype%3Dw800%22&amp;type=ff500_300|||https://postfiles.pstatic.net/MjAyNTEwMjdfMjMz/MDAxNzYxNTc1MTE4Njcw.Z4zRQwpvRb6ghvLeJogUQEvbziYJvVXVOErP1GhI1NEg.tbVXuZ8fD1kxlXFAPr0ZrvxXEsr6SRODDD2FpBka-nMg.PNG/image.png?type=w80_blur|||https://dthumb-phinf.pstatic.net/?src=%22https%3A%2F%2Fimgnews.pstatic.net%2Fimage%2F029%2F2025%2F10%2F26%2F0002989267_001_20251026191423864.jpg%3Ftype%3Dw800%22&amp;type=ff120|||https://dthumb-phinf.pstatic.net/?src=%22https%3A%2F%2Fssl.pstatic.net%2Fstatic.news%2Fimage%2Fnews%2Fogtag%2Fnavernews_800x420_20221201.jpg%22&amp;type=ff500_300|||https://postfiles.pstatic.net/MjAyNTEwMjdfMTQ5/MDAxNzYxNTcxMDc1MTE5.gT95yyDsguSUWj1KosBHHubN0zHnhNFpGWn88S_A8MYg.5GykLoEZTn5OauvXgWGkbm2YAWMWve7MmDigryTdUCcg.PNG/image.png?type=w80_blur|||https://postfiles.pstatic.net/MjAyNTEwMjdfMjk5/MDAxNzYxNTcxMDg2Mzc2.Fgm2XlZFg8gaRMu5vttlFZudijls74Eots5DwDcfypQg.MK43ZsvU8gpe0Awowu1nYujxtk4lmB-JcX1_ObmvJ0og.PNG/image.png?type=w80_blur|||https://postfiles.pstatic.net/MjAyNTEwMjdfMjU2/MDAxNzYxNTcxMDk1MDQ3.UsoM5k6Ou-jHrv0A4fa4cH_4m1eGy2LE0WB7bE1ugpEg.CVp3lbX0q6_9m16BAqtX458OV-7DSmHBl9jEHqvbd3Ug.PNG/image.png?type=w80_blur|||https://postfiles.pstatic.net/MjAyNTEwMjdfNDgg/MDAxNzYxNTcxMTAzMDc1.1LKAx8g6ChoovOZg_kPj4AQLvlN1ExrSk031ny16LFIg.xuVVvcEL4nijP3XwM1klMQ53Q2bZBFi9y9jtYV4CWEEg.PNG/image.png?type=w80_blur|||https://dthumb-phinf.pstatic.net/?src=%22https%3A%2F%2Fthumb.mt.co.kr%2Fcdn-cgi%2Fimage%2Ff%3Dauto%2F06%2F2025%2F10%2F2025102415330325277_1.jpg%22&amp;type=ff120|||https://postfiles.pstatic.net/MjAyNTEwMjdfMjIw/MDAxNzYxNTc2Nzk1Njc1.OAbDrp0am_GcUGA4OjokNJNIElS9sL-tY8Pgj71pD5Mg.BculZ3u2SY28FW0JKxoIZKZ6HZz3aOozDL-1BD_q2Twg.PNG/image.png?type=w80_blur|||https://dthumb-phinf.pstatic.net/?src=%22https%3A%2F%2Fimgnews.pstatic.net%2Fimage%2F421%2F2025%2F10%2F27%2F0008565176_001_20251027141308241.jpg%3Ftype%3Dw800%22&amp;type=ff500_300|||https://postfiles.pstatic.net/MjAyNTEwMjdfMjYx/MDAxNzYxNTc1MjgxMTk0.G-Iaqm_teh2xf8C1gS-pyJZm3HdMlmacbtj01rH_XFsg.VuO4guaDe_NWaBHSpHa9rIYOlvZHCpzCDiwXSncYjkIg.PNG/image.png?type=w80_blur|||https://dthumb-phinf.pstatic.net/?src=%22https%3A%2F%2Fimgnews.pstatic.net%2Fimage%2F123%2F2025%2F10%2F27%2F0002370660_001_20251027144612715.jpg%3Ftype%3Dw800%22&amp;type=ff500_300|||https://postfiles.pstatic.net/MjAyNTEwMjdfMTYg/MDAxNzYxNTc1MzM0OTkz.a1xkCfGvZPl6o0YuYWDY0MmjdtmA5O0TwdRJoho_yZ4g.or-7MO1T-XqMd2mPTwOxdhK0Jxz3-5KKmbX-ikCh5AMg.PNG/image.png?type=w80_blur|||https://postfiles.pstatic.net/MjAyNTEwMjdfMTgg/MDAxNzYxNTc1MzQyODk2.7j-xXgMftoZ2ehK9J1zH_SOw8RogVhg1geEDykmiCLAg.mHVU4md_JqTXmmLJsjD6KGa6f1_8tTFBzteX_Z1ZTzkg.PNG/image.png?type=w80_blur|||https://dthumb-phinf.pstatic.net/?src=%22https%3A%2F%2Fimgnews.pstatic.net%2Fimage%2F366%2F2025%2F10%2F27%2F0001117472_001_20251027060138277.png%3Ftype%3Dw800%22&amp;type=ff500_300|||https://postfiles.pstatic.net/MjAyNTEwMjdfMTU1/MDAxNzYxNTc0MzcxNjk5.8LYpuc3c_QF-tRVElY6q2CqTGPZUjxtpQ5n-jqNt0Pwg.UI9XJ0wP7G9m6pCDsU2M_tZ9RlPbcztznpM5RivxW8Mg.PNG/image.png?type=w80_blur|||https://postfiles.pstatic.net/MjAyNTEwMjdfMTkz/MDAxNzYxNTc0MzgyOTQ3.FZGHAn5tz1EZt9OHxXlaUxJSJj1qtdEoEWtTCrU2Hn4g.BJhRrWP9SoHHGIZYXv2eOy9Rdih8P0t-VJwrPa9Hmb4g.PNG/image.png?type=w80_blur|||https://postfiles.pstatic.net/MjAyNTEwMjdfMjAy/MDAxNzYxNTc0MzkwMTc4.HHBxDSiNcabkhPNmdae2-dY1DdP1d5mRNo0RivSQ2psg.qKp5yDJl8xrUZl2okr_jVqA71zJb9IzYCoyhXup6xsgg.PNG/image.png?type=w80_blur|||https://dthumb-phinf.pstatic.net/?src=%22https%3A%2F%2Fimgnews.pstatic.net%2Fimage%2F421%2F2025%2F10%2F27%2F0008563644_001_20251027095845915.jpg%3Ftype%3Dw800%22&amp;type=ff500_300|||https://dthumb-phinf.pstatic.net/?src=%22https%3A%2F%2Fwww.aitimes.com%2Fnews%2Fphoto%2F202510%2F203446_204352_3240.jpg%22&amp;type=ff500_300|||https://postfiles.pstatic.net/MjAyNTEwMjdfMjUw/MDAxNzYxNTc0NDk1ODY0._TXnIE3felgyAWzKP6Pqg6CZ4mktoBKFR4vdEvkRFewg.JrFzfg8TDQyaHvmw3fjbdu5d3cH6MBtjaH-eMr5FaX0g.PNG/image.png?type=w80_blur|||https://postfiles.pstatic.net/MjAyNTEwMjdfMTgy/MDAxNzYxNTc0NTA0MzQw.8Ge7B0wEBBMoZRK-yNJfpvvx_VJEyJUBONU0a-BGK4Ig.z3kPPUamFbfcpG3Mpzcc9Om26VfhLNq9tLwXAHxfELEg.PNG/image.png?type=w80_blur|||https://dthumb-phinf.pstatic.net/?src=%22https%3A%2F%2Fwww.theguru.co.kr%2Fdata%2Fphotos%2F20251044%2Fart_17615271008833_946435.jpg%22&amp;type=ff500_300|||https://dthumb-phinf.pstatic.net/?src=%22https%3A%2F%2Fwww.aitimes.com%2Fnews%2Fphoto%2F202510%2F203455_204367_4655.jpg%22&amp;type=ff500_300|||https://dthumb-phinf.pstatic.net/?src=%22https%3A%2F%2Fbiz.chosun.com%2Fresizer%2Fv2%2FIWF6DXGGS5GWTPGTMTCVSIKXGE.jpg%3Fauth%3D65f392fb99d3df4c7f60cf5f66755e2c672406ad531aca56b914b07a5a95d441%26width%3D800%26height%3D420%26smart%3Dtrue%22&amp;type=ff500_300|||https://postfiles.pstatic.net/MjAyNTEwMjdfODcg/MDAxNzYxNTc0OTQwMTc1.ibnIbFc5gb47OhtB_EMfMsO1xJqX_c2B3cW8OGzBnEog.75Nd-6oPIz-krtjWRbYTHYTNg7_vJGvkoHMPSV7nm0cg.PNG/image.png?type=w80_blur|||https://dthumb-phinf.pstatic.net/?src=%22https%3A%2F%2Fcphoto.asiae.co.kr%2Flistimglink%2F1%2F2025102208494375932_1761090584.jpg%22&amp;type=ff500_300|||https://postfiles.pstatic.net/MjAyNTEwMjdfNDQg/MDAxNzYxNTc0OTEyMDk4.5BJDTxDmd8y65YlV6Tkr223QT8_j0aDN8UpHrKL-Wiwg.1Jc06ode51pC8v0DKr0l86JCq5YN0ty4RCDjW21e1Q0g.PNG/image.png?type=w80_blur|||https://dthumb-phinf.pstatic.net/?src=%22https%3A%2F%2Fimage.zdnet.co.kr%2F2025%2F10%2F24%2Fd8579a6c3e0b344f782e5073af2890f8.jpg%22&amp;type=ff500_300|||https://dthumb-phinf.pstatic.net/?src=%22https%3A%2F%2Fimg1.newsis.com%2F2022%2F12%2F06%2FNISI20221206_0001146532_web.jpg%22&amp;type=ff500_300|||https://postfiles.pstatic.net/MjAyNTEwMjdfMjU4/MDAxNzYxNTc1Nzc5Mjgx.vHwxkFNeY67oouxE0uj4p_tIApirzgh9yoGptEm37AMg.K4hUDlt6Khfi-jjuoQykjorMS0kDqKDZCPDjSe1CJgwg.PNG/image.png?type=w80_blur|||https://dthumb-phinf.pstatic.net/?src=%22http%3A%2F%2Fwww.thelec.kr%2Fnews%2Fthumbnail%2F202510%2F42740_36786_5618_v150.jpg%22&amp;type=ff120|||https://postfiles.pstatic.net/MjAyNTEwMjdfMjkg/MDAxNzYxNTc1NDIxNTky.B7BkWvYGUaNsz4yxJSe7A4ynFwBkLGERXPtcqtBkMO0g.UaUrVRUQ04nBFZSQb3Qkx5MmACCbjJOZsjbVcxKhcSYg.PNG/image.png?type=w80_blur|||https://dthumb-phinf.pstatic.net/?src=%22https%3A%2F%2Fimgnews.pstatic.net%2Fimage%2F001%2F2025%2F10%2F25%2FPAF20251006131201009_P4_20251025090311377.jpg%3Ftype%3Dw800%22&amp;type=ff500_300|||https://dthumb-phinf.pstatic.net/?src=%22https%3A%2F%2Fimgnews.pstatic.net%2Fimage%2F016%2F2025%2F10%2F25%2F0002547119_001_20251025083108212.png%3Ftype%3Dw800%22&amp;type=ff500_300|||https://postfiles.pstatic.net/MjAyNTEwMjhfMjkw/MDAxNzYxNTc4MDU4OTc3.b9Ck2cIuVgUpeQGmURe67g7lN7YEHWU1OWRdt2AVWHAg.YUKBLKQKO7k4Dv2NjqMKBX23LYZ8y0ODR6yZ_BAmWsMg.PNG/image.png?type=w80_blur|||https://postfiles.pstatic.net/MjAyNTEwMjhfMjkx/MDAxNzYxNTc4MTM5OTgx.GPEG3aNjl6JniGbSzBYMF3K7RSsOFWyUfMiOO8PqcZ4g.esqyVnItyoQ-rb_zC9wCL3tXogSU_ZyHF8bvkk7qX7cg.PNG/image.png?type=w80_blur|||https://postfiles.pstatic.net/MjAyNTEwMjhfMjUw/MDAxNzYxNTc4MTQ4OTE1.3KU_6Jyb6kAeolmstZyM64HetjPJjXI13jRJICRJDAUg.UFgMRzpkYQXQ3L2G8EDVuBUZC8HnQ8cavn6id2J311sg.PNG/image.png?type=w80_blur|||https://postfiles.pstatic.net/MjAyNTEwMjhfMjEg/MDAxNzYxNTc4MTU4MjIx.ooJBSQKVa6MsOqvbe7AtAjqHi8y2MKfDdfuewLgJS50g.mZdQjquLmPKIfHcu_X8rWEVzbJy2c3l9DkLaAs7g6SAg.PNG/image.png?type=w80_blur|||https://postfiles.pstatic.net/MjAyNTEwMjhfMzgg/MDAxNzYxNTc4MTY3Mjcz.rTiP1PkuCamEt_4Cy_fXeECTSOjIBtntYHNw92WK0bcg.OESuxW7FCsB-zglOB5fOxYYO1rojHVcarGzd8evKoNwg.PNG/image.png?type=w80_blur|||https://dthumb-phinf.pstatic.net/?src=%22http%3A%2F%2Fwww.newsprime.co.kr%2Fdata%2Fphotos%2Fcdn%2F20251044%2Fart_708877_1761519724.jpg%22&amp;type=ff120|||https://postfiles.pstatic.net/MjAyNTEwMjhfNTUg/MDAxNzYxNTc4MTg0NzA3.YxE4MPorv0SjjRTmpris_J8YQFcEM3CcjWyTgnRXFjgg.ry7ewPgJivoQI9hrTe-1zvNHuYNtlk9jKzPxbda8PuMg.PNG/image.png?type=w80_blur|||https://postfiles.pstatic.net/MjAyNTEwMjhfMjYx/MDAxNzYxNTc4ODYwNjE5.V8W_slcOFIi_Mcgn4VIIdUnNbsHXVCPgfNUEYoczEJog.Frx4bBgHqNxok3uwlFe--W46sN6BvIIjk4X3QJHhBK0g.PNG/image.png?type=w80_blur|||https://dthumb-phinf.pstatic.net/?src=%22https%3A%2F%2Fimgnews.pstatic.net%2Fimage%2F009%2F2025%2F10%2F26%2F0005579209_001_20251027150516107.jpg%3Ftype%3Dw800%22&amp;type=ff500_300|||https://postfiles.pstatic.net/MjAyNTEwMjhfMTI1/MDAxNzYxNTc4MjQ4MDk2.komeJNTFdeH4B8JCpyeKd-jzq4HEJ33iLRvPaHmVmx8g.trnuibQF-aMiTfj56FO2gZioSLYBs6FqMsiEg1X8DgEg.PNG/image.png?type=w80_blur|||https://dthumb-phinf.pstatic.net/?src=%22https%3A%2F%2Fwww.finance-scope.com%2Fdata%2Fscp%2Fimage%2F2025%2F10%2F27%2Fscp20251027000009.800x.0.jpg%22&amp;type=ff500_300|||https://postfiles.pstatic.net/MjAyNTEwMjhfMSAg/MDAxNzYxNTc4MzU2NTk3.F90xmKhCSwW7PLhoBcyhk-DfnAX49PBCDtw9IzDN4-Eg.BDpNPorjJtdFcsJkH3n6iscfePetqBI47PaoufVTAJEg.PNG/image.png?type=w80_blur|||https://postfiles.pstatic.net/MjAyNTEwMjhfMjc3/MDAxNzYxNTc4MzYzNzI3.vX5G9B9xzAED7fjaPluERhmcfKLAfgxJk60BrNOdHN4g.rBnyNAeo3ooGBQ2h5xST2Iegc31LAcMKA4-14et2fnQg.PNG/image.png?type=w80_blur|||https://dthumb-phinf.pstatic.net/?src=%22https%3A%2F%2Fimage.edaily.co.kr%2Fimages%2FPhoto%2Ffiles%2FNP%2FS%2F2025%2F10%2FPS25102700693.jpg%22&amp;type=ff500_300|||https://postfiles.pstatic.net/MjAyNTEwMjhfNTQg/MDAxNzYxNTc4NDY5NDMy.ALyk8FvwmnL2QOm2zrODeIqyt7N_4TmWua2J1VRJEPkg.aCFVivmCpbnOCeat8563X9fan_zvCCUHlpQ9yq-eLlsg.PNG/image.png?type=w80_blur|||https://dthumb-phinf.pstatic.net/?src=%22https%3A%2F%2Fstatic.mk.co.kr%2Ffacebook_mknews.jpg%22&amp;type=ff120|||https://postfiles.pstatic.net/MjAyNTEwMjhfMTQx/MDAxNzYxNTc4MTIwMjk1.WEJ1zErTYYt7XiT3--LmA-G7VPUpj07rFuQHyp3Ftmwg.xgePFw-sgLwu1KBsIqTxH5Y8a_Yv9IHJquWrZkhAsgUg.PNG/image.png?type=w80_blur</t>
  </si>
  <si>
    <t>소식</t>
  </si>
  <si>
    <t>10/27 증권사 Report 정리 : 네이버 블로그</t>
  </si>
  <si>
    <t xml:space="preserve">■ 버블토크 - 유진투자증권 * 강세론자들은 버블 경고가 많을수록, 주가가 더 간다고 주장합니다. 그럴 듯 하지만, 반드시 그렇지도 않습니다. * 99~2000년 많은 언론에서 당시 인터넷 주가 급등을 튤립... </t>
  </si>
  <si>
    <t>blog.naver.com/dhp039</t>
  </si>
  <si>
    <t>https://blog.naver.com/dhp039/224055475860</t>
  </si>
  <si>
    <t>dhp039</t>
  </si>
  <si>
    <t>■ 버블토크 - 유진투자증권
* 강세론자들은 버블 경고가 많을수록, 주가가 더 간다고 주장합니다. 그럴 듯 하지만, 반드시 그렇지도 않습니다.
* 99~2000년 많은 언론에서 당시 인터넷 주가 급등을 튤립 버블과 사우스시 버블과 비교했습니다.
* 버블 논란은 95~96년 이후 꾸준히 늘었습니다. 버블이 붕괴되기 시작한 2000년, 그리고 그 이후인 2021년까지 더 이어졌습니다.
* 즉, 논란이 이어지는 동안 주가가 급등한 것은 사실이지만, 그렇다고 버블 경고가 사라지고 모두가 버블이 아니라고 해서 주가가 급락한 것도 아니었습니다.
* 많은 버블 경고에도 90년대 후반 주가가 꽤 오래 상승할 수 있었던 배경이 있습니다.
* 1) 당시만 해도 공매도가 활발하지 않았습니다. 공교롭게도 지금 AI 버블 논란의 한 가운데 있는 OpenAI는 상장 전입니다. 공매도가 안됩니다.
* 2) 주가 차별화로 전문 운용역들의 성과 압박이 컸습니다. 벤치마크 대비 성과로 평가받는 운용역들은 주가가 비싸다고 시장에 역행하는 투자를 오래 하기 어렵습니다.
* 즉, 경기 자체에 빨간 불이 들어와 금융시장으로 자금 유입이 끊기지 않는 한, 주가 상승은 랠리 후반부에 더 강했던 것입니다.
* 3) FOMO 때문입니다. 시장 참여자들이 미래 전망을 보고 투자한 것이 아니라, 주변 사람들이 부유해지는 것을 보고 따라 샀습니다.
* 전설적인 금융역사가 찰스 킨들버그는 인간에게 친구가 부자가 되는 것을 보는 것만큼 평정심과 판단력을 흔드는 일은 없다고 했습니다.
* S&amp;P500 7천, 코스피 4천 시대가 다가왔습니다. 아직은 될 만한 주가만 오르고 있습니다.
* 주식으로 돈 벌어서 차를 바꾸거나, 집을 산 친구들도 그다지 많이는 없습니다. 버블 논란은 이른 것 같습니다.
■ 매크로 관점에서 바라본 한국 시장 - DS투자증권
● 한국의 재정 확대
- 한국 정부는 GDP 대비 재정적자 비율을 4% 수준으로 확대
- 재정 확대는 경기 하방을 방어 + 중장기적으로 재정건전성 우려를 키움
- 국가별 성장력의 차이가 향후 자산 가격 차별화의 중요한 배경이 될 전망
- 한국은 선진국보다 채권 약세 압력 확대 환경에 노출될 가능성
● 증시 호조 뒤에 가려진 불안 부분
- 최근 한국 시장에서 채권과 환율의 동반 약세
- 전형적으로 신흥국형 취약성이 부분적으로 반영되는 전개
- 부채 부담 확대에 따른 재정 프리미엄과 구조적 저성장이 반영되는 결과
● 매크로로 설명하는 코스피 상승
- 최근 한국 증시 상승세에는 실적 개선과 통화 가치 절하에 따른 헷지 수요
- 반도체 사이클 회복 + 실적 개선 + 통화 약세는 자산시장 상승의 핵심 요인
- 일본도 통화 약세가 실적 기대감으로 이어지면서 증시 동시에 상승하기도 했음
- 물가와 환율을 반영하여 증시 상승 여력을 살펴볼 필요
- 환율만 감안하면 21년 고점까지 6.4%(4,193pt)
- 물가와 환율을 감안하면 21년 고점까지 22.6%(4,810pt)
● 증시 추가 상승 여력 적지 않음
- 높지 않은 절대적인 경제 성장률, 그러나 사이클 바닥은 지났음
- 코로나 랠리보다 낮은 멀티플
- 멀티플 여유가 있으며 반도체 사이클 지속에 따라 실적 전망치 현실화 시 지수 하방은 막혀있을 것
- 추가적으로, 주주 환원으로 균형 PBR 레벨이 높아질 것으로 전망
■ Strategy Weekly : 내년을 보면 아직 저렴한 코스피 - 현대차증권
- 코스피 역사적인 강세장 지속, 4000선 눈앞
- 코스피 밸류에이션, 내년 이익 성장 고려했을 때 글로벌 증시 대비 여전히 저렴
- AI 인프라 공급 기업 우위 환경은 한국 반도체 업종의 이익 증가 견인
- 코스피 주주환원 증가는 ROE 개선해 밸류에이션 매력도 더욱 높일 전망
■ 이벤트가 너무 많네요 - SK증권
[Week Ahead]
- 지난 주 글로벌 증시 일제히 강세 나타낸 가운데 국내 증시의 아웃퍼폼 지속. 코스피지수 중심의 파죽지세 지속되며 어느새 4000pt를 목전에 둔 상황. 미국과 중국이 말레이시아에서 무역회담을 하며 갈등 노이즈 점차 해소되는 분위기 조성 속 양호한 실적시즌, 셧다운 영향으로 뒤늦게 발표되었던 미국 9월 CPI가 시장 컨센서스를 하회하며 인플레이션 우려 감소(MoM 기준 헤드라인과 코어 각각 +0.3%, 0.2% / 예상치는 0.4%, 0.3%이었음)한 점도 시장에 긍정적인 영향을 미침. 한미정상회담과 APEC 앞두고 무역 협상 관련 긍정적인 뉴스플로우 유입도 국내 증시 센티먼트 추가 개선에 일조
- 코스피종합지수 금요일 종가 3941.59pt 마감하며 신고가 랠리 지속 중인데, 기술적 지표나 가격만으로 지수 업사이드를 쉽게 제한하기 힘든 상황. 여전히 상방은 계속 열어놓되 기존 주도 업종들은 최소 뉴트럴 이상 포지션 가져가며 압축적으로 대응하는 것이 유리하다는 판단. 코스피와 코스닥 20일 ADR이 79.4%, 72.3% 정도에 머무는 등 여전히 쏠림은 심하기 때문에 순환매 발생 시 기존 크게 올랐던 종목들의 단기 가격 조정은 과격하게 발생할 수 있겠지만 단기간 내에 쏠림 해소될 만한 이벤트 발생할지에는 의문
- 이번 주는 일정이 많은 한 주로 시장 센티먼트를 훼손할 상황이 나오게 될 가능성은 크지 않겠으나 시장 민감도는 높을 것으로 예상
1) 한미 정상회담(수), 미중 정상회담(목), APEC 정상회의(금~토)가 이번 주 메인 이벤트. 이와 함께 나타날 수 있는 무역 협상 관련 내용들에 시장 민감도 높을 것으로 예상하며 트럼프의 발언을 통해 김정은 북한 국무위원장과의 만남 가능성도 제기되고 있음
2) 10월 FOMC(한국 시간 목요일 3시 회의 결과 발표 예정)도 이번주에 있는데 지난 주 9월 CPI가 시장 예상치 하회하며 변수가 제거된 만큼 기준금리 25bp 인하는 확정적(선물시장 기준 98% 가까이 반영 중, 12월 25bp 인하 확률도 90% 상회). 기준금리 관련 내용보다는 최근 파월이 언급했던 QT 종료 관련 일정이 제공될 수 있을지가 중요할 듯. 이 밖에 유로존, 일본, 캐나다도 통화정책회의 및 기준금리 결정 일정 잡혀있어 통화정책 측면에서는 빅 위크(캐나다는 기준금리 25bp 인하, 나머지는 동결이 컨센서스)
3) 3분기 실적시즌 Climax: 미국 실적시즌은 이번주와 다음주를 거친 이후에 마무리 수순 들어갈 것. 금주 Magnificent 7 종목들 중 엔비디아와 테슬라를 제외한 5개 종목들 실적발표 예정되어 있으며 다른 라지캡 기업들도 다수 일정이 있음. 국내 증시도 삼성전자와 SK하이닉스 중심으로 대형주들 실적 일정 다수 산재(한국/미국 주요기업 이번주 실적발표 일정은 10~15p 참고)
4) 엔비디아 GTC가 워싱턴DC에서 열릴 예정(월요일~수요일)이며 젠슨 황 CEO 기조연설은 한국 시간으로 수요일 새벽 1시로 예고됨. 결국 M7 기업들 중 테슬라(다음주에 주주총회 예정)를 제외한 6개 기업이 시장과 직접 소통하는 금주가 중요할 수밖에 없음
■ 관세 업데이트 : "한국과 미국, 말은 달라도 APEC에선 통할까" - 다올투자증권
● 트럼프 대통령, 캐나다와의 모든 협상을 즉각적으로 종료한다 밝힘
* 트럼프 대통령, 캐나다가 로널드 레이건 미국 전 대통령이 관세에 대해 부정적으로 말하는 모습이 담긴 광고, 즉 거짓 광고를 기만적으로 사용했다고 로널드 레이건 재단이 방금 발표했다 밝힘
* 캐나다가 미국 대법원을 비롯한 법원의 결정에 개입해 영향을 주기 위해 그런 광고를 냈다 주장
* 캐나다의 광고는 관세가 미국인들의 삶에 장기적으로 부정적 영향을 미친다고 주장하며, 마지막에 레이건 전 대통령의 모습을 넣어 마치 그가 이런 발언을 한 듯한 인상을 줌
● 트럼프 대통령, 한국과의 관세·무역 협상에 대해 타결에 매우 가깝다 밝힘
● 대한민국 공직자, 아직 미국과의 관세 협상에 시간이 필요하다 언급
* 김정관 산업통상부 장관, APEC에서 미국과 관세협상이 타결될 것이라고 예단하기는 어려운 상황이라고 진단
* 김용범 대통령실 정책실장, 일부 진전은 있었지만 핵심 쟁점에 대해서는 양국의 입장이 팽팽하게 대립하는 상황이 지속되고 있다 언급
● 베선트 재무장관, 미중 무역 협상과 관련해 중국의 희토류 수출 통제가 1년간 유예되고 이에 따라 미국의 대중국 100% 추가 관세 부과도 없을 것으로 예상한다 밝힘
● 트럼프 대통령, 관세 덕분에 미국 주식시장은 어느 때보다 강하다고 평가하며 미국은 부유하고 강력하며, 다시 안전해졌다 언급
● 트럼프 대통령, 적절한 조건이 충족되면 브라질에 대한 관세를 인하하는 방안을 고려하겠다 밝힘
* 룰라 브라질 대통령, 트럼프 대통령과 회담 성사시 관세와 베네수엘라 정세를 포함한 의제를 논의할 준비가 됐다고 화답
■ 내년을 보면 아직 저렴한 코스피 - 현대차증권
[코스피 역사적인 강세장 지속, 4000선 눈앞. 코스피 밸류에이션, 내년 이익 성장 고려했을 때 글로벌 증시 대비 여전히 저렴. AI 인프라 공급 기업 우위 환경은 한국 반도체 업종의 이익 증가 견인. 코스피 주주환원 증가는 ROE 개선해 밸류에이션 매력도 더욱 높일 전망.]
● 코스피 역사적인 강세장 지속, 4000선 눈앞(금일 역사적 돌파^^)
코스피가 4,000pt에 가까워지며 역사적인 강세장을 지속하고 있다. 코스피는 한주 동안 192pt가 상승한 3,941.59pt를 기록하며 목요일을 제외한 나흘 동안 사상 최고치를 경 신했다. 주초반 코스피에서 -1.4조원 가량 순매도를 보였던 외국인이 금요일 순매수로 전환 하면서 수급에 대한 우려를 낮췄다. 코스피는 올 한해동안 64.3% 상승하며 홍콩 항셍 (+30.4%), 독일 DAX(+21.6%), 미국 나스닥(+20.2%) 등 주요국 증시를 제치고 글로벌 증시에서 가장 아웃퍼폼 하고 있다
올해 코스피 강세 배경에는 전세계적인 AI 투자 붐에 따른 반도체 업종 급등이 있다. 또한, 트럼프의 새로운 무역 질서에도 불구하고 경쟁력을 가지고 있는 조선, 기계, 방산 이 큰 폭 상승했다. 이재명 정부의 상법 개정과 자본시장 활성화 정책에 지주와 은행, 증권 업종도 코스피의 상승을 기여했다. 특히 코스피가 9월 이후 3,150pt에서 3,940pt까지 상승 한 2차 강세장에서는 반도체의 강세 기여도가 더욱 커졌다. 대형 반도체주 중심의 강세는 코 스피에서 대형주 쏠림 현상을 심화시키고 있다. 7월 이후 코스피200 동일가중 지수는 코스 피200 시가총액 지수 대비 언더퍼폼하고 있다. 초대형주 강세장을 의미한다.
● 코스피 밸류에이션, 이익 성장 고려했을 때 글로벌 증시 대비 여전히 저렴
코스피가 강세를 보이면서 밸류에이션도 점차 높아지고 있다. 코스피의 12개월 선행 PER 은 11.6배로 과거 20년 평균 10배를 상회하고 있다. 다만 21년 강세장이나 23년과 대비했을 때 여전히 낮은 수준이다. 단기 급등에도 불구하고 밸류에이션 부담은 크지 않은 것이다. 코스피는 글로벌 주요 증시와 비교해도 저렴하다. 12개월 선행 PER과 2026년 EPS 성장률을 함께 그리면 코스피는 내년에도 큰 폭의 EPS 성장이 전망되지만 밸류에이션은 낮다. 내년 EPS 성장률 전망 대비 낮은 밸류에이션을 받고 있는 것이다. 그 결과 12개월 선행 PER과 12개월 선행 EPS의 성장률을 함께 보는 PEG(Price/Earnings to Growth Ratio)는 글로벌 증시 중에서 가장 낮은 수준에 있다.
코스피의 영업이익의 성장률은 2분기 바닥을 찍고 상승할 전망이다. 반도체를 중심으로 조선, 방산, 기계 등의 실적이 호조를 보이고 있는 영향이다. 특히 반도체 업종 의 내년도 실적 개선세가 눈에 띈다. 9월 이후 반도체 업종의 강세는 올해가 아닌 내년도 실적에 대한 기대감이 높아진 영향이다.
반도체 업종의 견고한 실적은 글로벌 AI 투자 붐에 기인한다. 2026년은 물론 2027년 에도 미국의 AI 관련 CAPEX 증가는 이어질 것으로 전망된다. 코스피에서 외국 인 수급은 미국 반도체 기업들의 주가 흐름에 더 민감히 움직인다. 필라델피아 반도체지 수가 나스닥100 대비 상대적인 강세를 보일 때 외국인은 코스피를 순매수하는 경향이 있다. 필라델피아 반도체지수가 AI 인프라를 공급하는 업체를 대표하고, 나스닥 100 지수가 AI에 투자하는 테크 기업들을 의미한다고 가정할 경우 나스닥100 대비 필라 델피아 반도체지수의 아웃퍼폼은 AI 인프라의 공급 기업 우위 상황이 지속되는 것이고, 이는 한국 반도체 업종에 유리한 환경이다. AI 시대를 맞이해 각국 정부와 테크 기업들은 경쟁적으로 투자에서 나서고 있기 때문에 한국 반도체 업종에 유리한 환경이 지속될 것 으로 전망된다.
● 주주환원 증가는 ROE 개선해 밸류에이션 매력도 더욱 높일 전망
글로벌 주요 증시 대비 코스피의 밸류에이션이 저렴한 요인 중 하나로 낮은 자본효율성이 있다. 주주환원 증가는 주주에게 잉여 이익을 배분하고 자기자본을 줄여 ROE를 높이는 효과가 있다. 일본은 2014년 이후 거버넌스 개혁을 통해 기업들의 자본 효율성 재고를 목표했다. 일본 기업들의 배당 및 자사주 소각을 통한 주주환원 증가는 일 본 TOPIX 지수의 ROE 개선을 야기했다. 이재명 정부는 세제개편 및 상법 개정을 통해 기업의 경영 투명성과 지배구조를 개선해 자본 효율성을 높여 ROE를 상승시키 고, 배당성향 향상을 목표하고 있다. 코스피 기업들의 주주환원 증가는 ROE를 개선해 밸류에이션 매력도를 더욱 높일 전망이다.
■ 계속되는 강세장 속에 단기트레이딩에 도움이 될 지표: “50일” - KB증권
● 미국 물가 안정과 APEC회의 기대감 등이 추가
미국 CPI와 Core CPI 모두 3.0% YOY로 예상치 (3.1%)를 하회했다. 일부 관세 전가 현상이 관찰되나, 아직 우려할 정도로 빠르게 진행되진 않고 있다. 이에 따라 금리 인하 기대감이 커졌다. APEC의 정상회담 호재도 나왔다. 베센트 장관은 "양측의 프레임워크 가 마련됐고, 농산물 구매 ·펜타닐 합의가 있을 것"이라고 언급했다.
트럼프 1기 무역전쟁 이후 미중 정상회담은 두 차례 모두 G20 회의에서만 열렸다. 1 이번에도 그 패턴이 반복됐고, 일정상 APEC이 아니면 올해 두 정상이 만날 기회가 없었다. 2 과거 G20 회의에서는 모두 긍정적 합의가 있었고, 트럼프는 개인적 친분이 깨지면 협상 여지가 없다고 보는 인물이다. 다만 두 번 모두 이후 3~6개월 내 추가 관세를 선언
해 합의를 뒤집었다.
● 3저 호황의 사례 : 50일 이격도 115% 넘은 후 조정, 50일 이평선에서는 주가 지지선이 형성된 경험
지금의 상승장이 '3저 호황'과 비슷하다고 판단하고 있다. 다만 아무리 강한 상승장도 조정 없는 상승장은 없다. 3저 호황 때도 -10%내외 조정이 1년에 두 번 정도 있었다. 이런 사실을 아는 것은 조정 시 투자자들이 섣부른 차익 실현에 나서는 것을 제어해 줄 수 있다. 좀 더 기술적으로 보면 '50일 이평선'이 의미가 있었다. 50일 이격도가 115%를 넘은 후에는 수일 후 조정이 나왔고, 50일 이평선 부근에서는 지지되는 경향을 보였다.
● 요약
미국 물가 안정과 APEC회의 기대감 등이 나왔다. 트럼프 1기 때도 시진핑과 정상회담은 'G20회의'에서만 있었다. 2번의 정상회의에선 모두 좋은 합의가 나왔다. 다만 이후 3~6개월엔 모두 합의를 깼다는 전례가 있다. 3저 호황과 같은 강세장이 지속되는데, 당시를 참고한다면, 50일 이평선 전략이 트레이딩에 상당히 도움이 될 수 있다.
■ 문샷 : 투자의 시대 - DB금융투자
● 유동성의 큰 그림이 변하려는 중
글로벌 M2유동성은 늘어나고 있는 중이지만 중앙은행이 공급하는 M0유동성은 수년간 급격히 감소해왔다. 글로벌 4대 중앙은행은 모두 양적 긴축을 진행중이고 이는 채권에 부정적 재료였다. 이 흐름이 바뀌고 있다. 미국은 다시 양적완화를 시행할 것을 공언하고 있고 일본도 긴축 흐름이 전환될 수 있다. ECB나 BoE도 향후 흐름에 따라서 태도가 변할 수 있다. M2의 증가에 더해서 M0의 전환까지 더해진다면 유동성면에서 자산시장에 중요한 재료가 될 수 있다. 특히 채권의 수급과 관련한 대전제가 바뀌게 될 것이다. 올해 진행된 50년 만에 가장 빠른 달러 약세는 파생상품을 통한 달러 대출을 급증시켰기 때문에 약달러의 진행이 이어질 것이냐도 유동성에 중요하다. 전반적으로 채권의 밸류가 높아지는 환경이 조성될 것이다.
국내외 통화정책은 상대적으로 매파적이지만 그럼에도 불구하고 채권에 긍정적 시각을 유지하자. 결국 금리란 중앙은행이 아닌 경제의 기초 체력에 달렸음을 잊지 말자. 미국채 금리가 단기간에 많이 하락하여 일부 반등할 수 있다. 꾸준히 매수관점에서 접근하자. 달러원 환율은 한미간 협상에 따라서 상하로 높은 변동성이 있을 수 있다. 협상 내용을 보고 환율 방향성을 판단해도 늦지 않을 것이다. 중국 주식 모멘텀은 이어지고 있으며 이는 장기적으로 계속될 수 있다. 중국 테크 중심으로 정책 수혜에 노출된 섹터를 중심으로 포지션을 늘려가자. 상승 분위기가 이어지는 국내 주식은 역시나 저평가된 밸류를 높게 받을 수 있는 종목에 집중하자.
● 각국 통화정책 점차 완화 영역으로 이동
지역마다 차이가 있으나 다수 국가에서 인플레이션 안정에 24~25년 상당 폭 정책금리 인하 를 진행했다. 미국은 관세 불확실성에 다소 지연됐으나 지난달부터 본격 금리인하가 시작되었 다. 현재 다수의 선진권역에서 실질정책금리가 마이너스에 도달 또는 근접하며 통화정책 기조 가 완화 영역으로 옮겨가고 있다. 9월 근원인플레이션을 기준으로 실질정책금리가 마이너스 영역에 위치한 선진국은 독일, 프랑스, 이탈리아, 일본, 뉴질랜드 등이다. 캐나다, 한국, 호주도 실질정책금리가 거의 제로에 근접했다. 신흥국까지 확대해도 브라질 정도를 제외하면 대부분 국가의 통화정책 기조는 완화에 가깝다. 미국의 실질금리는 주요국 중 가장 높지만 2026년 중립까지 100bp 가량 추가 인하 경로를 감안하면 정책 기조는 점차 중립~완화에 다가설 것이다.
향후 인플레이션을 감안한 주요국 정책금리는 완화적 영역에 놓일 것이다. 각국 중앙은행은 여전히 4년 넘게 보유 자산(주로 국채) 감축을 통해 본원통화를 회수하는 양적긴축을 진행하고 있다. 주요국 중앙은행의 달러 환산 자산 총액은 2025년 1분기를 저점으 로 이후 횡보 중에 있다. 선진국의 재정지출은 약화되는 세계화 속 자국 산업 경쟁력 강화를 위한 지출 수요, 친환경 비용, 고령화에 따른 사회보장/의료지 지출 증가 등 구조적 요인에 따라 높은 수준을 이어갈 가능성이 크다. 각국 중앙은행은 안정되어가는 인플레이션, 정부 확 장 재정과 그에 따른 부채 지속가능성을 지원하기 위해 앞으로는 자산 감축 속도조절에 나설 가능성이 크다. 미 연준의 양적 긴축 중단이 트리거가 될 수 있으며 10월 말 FOMC에서 관련 논의가 있을지 주목하자. 각국의 통화정책은 점차 중립에 가까워졌고 긴 호흡에서는 완화적 영역으로 이동할 가능성이 크다.
● 연간 기준으로 1999년 이후 26년 만에 최고 수준
최근 세간의 관심사는 AI 버블이 언제까지 이어질지에 대한 부분이다. 저명한 투자 대가들이 이에 대하여 자신의 의견을 언론에 나와서 피력하는 것이 유행처럼 되었다. 필자 개인이 그 내용들을 취합한 바로는 투자 대가들 상당수가 AI 버블에 대하여 부정하지는 않지만 그렇다고 지금 당장 멈추지도 않으리라는 견해를 가지고 있는 것으로 보인다. 대체로 현재 상황은 과거 닷컴 버블 당시의 1998년 혹은 1999년과 유사하다는 것이다. 이에 따라 앞으로 1~2년간은 추가 상승이 가능하다고 언급하기도 한다.
물론 극소수의 투자 대가들은 현재 주식시장의 위험성을 경고하기도 한다. 특히 AI 기업들 간 에 벤더 파이낸싱이 나타나고 있다는 점을 대표적인 경고 신호라고 지적한다. 과거 닷컴 버블 당시 인터넷 네트워크 장비 기업들이 자신들의 고객사에 자금을 투자하고, 자금을 투자받은 고객사는 인터넷망 구축을 위하여 다시금 자신에게 자금을 투자했던 기업들의 제품을 구매하 는 순환적인 거래가 있었다. 이러한 벤더 파이낸싱 이후에는 부풀려진 미래 전망이 현실화되며 관련 주가가 내려온 바 있었다. 이것이 닷컴 버블 후반부의 일이다. 이와 같은 모습이 현 재 AI 생태계에도 횡행하고 있다는 점에서 우려된다는 점을 일부에서는 언급하고 있는 것이다.
이처럼 상반된 얘기가 오가는 와중에 투자자의 선택은 더욱 어려워지기만 한다. 여기서 필자 의 조언은 단순하다. 주식시장의 큰 흐름에 대해서는 지켜볼 부분이 있으나 적어도 최근의 급 속 상승 이후 일정한 되돌림에 대해서는 준비를 하자는 것이다. 올해 KOSPI가 급등을 이어오 며 어느덧 연간 상승률이 60%를 기록하고 있다. (2025년 연초부터 2025년 10월 23일까지) 해당 수익률은 연간 기준으로 1999년 이후 26년 만에 최고 수준이다. KOSPI의 초장기 연평 균 수익률이 2% 남짓이라는 점에서 60%의 연간 수익률을 기록한 것만으로도 대단한 것이다. 그렇다면 지금까지의 움직임에 대하여 반대급부를 생각하는 것이 필요할 수 있다. 상대 수익률 관점에서는 현재 주도주의 분위기 반전이 나타날 여지를 염두에 둬야 한다. 포트 폴리오의 한켠에 지금 유행하는 것과 반대 성향을 지닌 주식 일부를 배치하는 전략을 고려해 봐야 한다. 고배당, 저PBR 주식 일부에 대한 편입을 고려할 것을 추천한다.
● 올해보단 내년이 더욱 기대되는 국내 게임 테마
글로벌 증시는 미중 무역분쟁 우려가 재부각 됨에도 불구하고 기업 실적 호조, 연준의 기준금 리 인하 기대감 등에 힘입어 상승세를 이어갔다. DB Risk Index는 미중 무역마찰 우려에 0선 을 상향 돌파하였으나 재차 위험자산 선호 쪽으로 방향을 트는 모습이다. 주식, 채권 등 대부 분의 자산의 변동성이 상승하였으며 특히 금의 변동성 상승이 두드러졌다. ETF Plus 종합점수 기준으로 한국이 가장 높은 점수를 기록하였다.
9월에 이어 10월에도 주요국 지수 대비 높은 수익률을 기록하였으며 펀더멘털, 밸류에이션, 기술적분석 측면에서 10점을 기록하였다. 장기 가격 모멘텀 상위 테마로는 방산, 핀테크, 우주항공 등이 지속되고 있다. 글로벌 대비 차별적인 강세를 보이는 국내 증시 속, 상대적으로 장기간 소외되어 있는 테마에 서 투자기회를 찾아보자. 글로벌 게임 테마가 사상 최고치를 경신하는 것에 반해 국내 게임 테마는 장기간 주가지수 하락이 이어지며 장기 가격 모멘텀 하위권에 머물러 있다.
KODEX 게임산업 ETF의 12M Fwd PE는 13배 초반으로 최근 10년 내 최저 수준에 있을 정도이다. ETF 구성종목 중 대표 기업은 엔씨소프트, 크래프톤, 넷마블, 펄어비스 등으로 SmartEstimate 기준 3분기 실적은 시장 예상을 하회할 것으로 전망한다. 단, 3분기 실적 발표와 함께 향후 실적에 대한 시장의 중점이 올해에서 내년으로 옮겨지는 시기임을 기억하자. ETF 구성종목의 2026년 합산 영업이익 전망치는 올해 대비 36.9% YoY 증가할 것으로 기대되며 2027년에도 성장세를 이어갈 것으로 기대된다. 엔씨소프트의 신작 출시 기대감이 실적 전망에 반영되는 가운데 크래프톤, 펄어비스 등도 큰 폭의 실적 개선이 기대되기 때문이다. 실적 발표와 함께 본격적으로 가시화될 내년 실적 성장성에 주목하자.
■ 위안화 환율 어디까지 갈까? - 삼성증권
Little Plaza?
- 안녕하세요. 미중 무역협상이 잠정 합의에 도달하면서 위안화 환율이 관심입니다. APEC 기념 Easy deal은 끝났습니다. 미국은 관세를 거두고 중국은 희토류와 대두수입으로 제자리로 돌아온 셈입니다.
- 메인게임은 이제부터입니다. 트럼프가 받아내야할 현찰은 1) 무역수지 2천억달러 이상 조정, 2) 중국 시장개방, 3) 위안화 절상인데요,
가장 중요한 키는 통화로 생각됩니다. 트럼프 대통령이 중국이 필사적인 핵심이익(경제성장, One China) 첨단제조 규제완화- 대만 양보를 내준다면 위안화는 내년에 위안화 재평가 사이클로 보낼수도 있습니다. 6.2위안/달러가 기준점입니다.
미중 합의가 도출되는 그림이라면 원위안도 새로운 경지에 진입할 수 있겠습니다.(원달러는 원화 강세)
■ OpenAI, AMD, Broadcom unite behind Ethernet to reshape AI infrastructure - 메리츠증권
- 이더넷 기반 스케일업 네트워킹(ESUN, Ethernet for Scale-Up Networking) 얼라이언스가 2025년 오픈컴퓨트프로젝트(OCP) 글로벌 서밋에서 공식 출범
- OpenAI, 메타, AMD, 엔비디아, 마이크로소프트, 브로드컴 등 북미의 주요 AI 기업들이 모두 참여했으며, AI 칩 간 연결의 파편화 문제를 해결하고 글로벌 AI 인프라를 재정의하기 위한 개방형 이더넷 인터커넥트 표준을 구축하는 것이 목표
- 올해 OCP 서밋의 핵심 주제는 AI 네트워크 확장이었으며, 엔비디아는 GPU에서 전체 인프라로 확장되는 수직·수평적 스케일링 과정을, 브로드컴은 이더넷이 최적의 기반이라 주장했으며, AMD는 개방형 생태계의 중요성을 강조
- ESUN는 이더넷 기반 스케일업 네트워킹을 통해 AI 시스템 간 인터커넥트 표준을 통합하고, 이기종 컴퓨팅 아키텍처 간의 파편화를 줄이는 것에 초점
- 엔비디아의 NVLink/NVSwitch는 여전히 독점적이지만, AMD는 UALink를 통해 개방형 대안을 제시했고 이제 ESUN의 하위 프로토콜로 통합. 이는 경쟁에서 협력으로의 전환을 상징
- 브로드컴은 ESUN을 통해 이더넷 네트워킹 주도권을 회복을 시도. 특히, 2025년 자사 SUE(Scale-Up Ethernet) 프레임워크와 Tomahawk Ultra 스위치, Thor Ultra 800G NIC를 발표하며 엔비디아 인피니밴드에 도전
- OpenAI는 하드웨어–소프트웨어 통합 AI 인프라 전략의 일환으로 브로드컴, AMD 등과 협력
- 메타는 AI 컴퓨팅의 하드웨어 다변화와 이기종 시스템 통합을 강조하며, ESUN 참여를 통해 파편화 해소와 효율적 워크로드 배분을 목표로 하고 있음
■ From Zero to Hero - BOA
주요 자산 성과:
금 56.2%, 주식 19.7%, 비트코인 16.9%, 투자등급(IG) 채권 10.3%, 하이일드(HY) 채권 9.3%, 국채 7.3%, 원자재 6.6%, 현금 3.5%, 달러 -8.8%, 유가 -13.8% (연초 대비)
시장 분위기 (Zeitgeist):
미국 정부 셧다운 시작 이후 10년 만기 국채 금리가 20bp 하락함.
거시적 관점:
리먼 브라더스 파산 이후 18개월간 313번의 중앙은행 금리 인하가 있었음. 금융위기 당시 명목 GDP가 1.5% 하락할 때 실질 GDP는 4.5% 급락했음. 지난 24개월간 312번의 글로벌 금리 인하가 있었으나, 글로벌 명목 GDP는 11% 상승함. 이는 붐, 버블, 평가절하(debasement) 환경 조성을 시사함.
금 (Gold):
강세론: 100개 중 10개 펀드만 금을 매수함 (2010년 4개). BofA 글로벌 펀드매니저 서베이(FMS)에 따르면 금 배분 비중은 2011년 8월 이후 최저 수준(순자산의 3.5%). "롱 골드"는 가장 붐비는 거래지만, 트럼프 리스크, AI 버블, 미국 부채 부담 증가, 연준 풋옵션, 신세대(Z세대) 부상, S1OT 점프(2025년 1분기 예상) 등을 헤지하기 위해 롱 포지션 유지를 주장함.
약세론: ✔️지난 4개월간 금 유입액(860억 달러)이 과거 14년 유입액(700억 달러)보다 큼.
주간 흐름: 금으로 87억 달러 유입 (역대 최대).
채권 (Bonds):
강세론: BofA FMS에 따르면 기관 투자자들의 채권 비중 축소(UW)가 2022년 10월 이후 최대. FMS 투자자들은 향후 12개월 내 더 높은 채권 금리를 예상함. 지난 5년간 혹독한 시기를 겪은 후, 글로벌 부(-)금리 채권 비중(20년 12월 18조 달러) 감소 및 역사적 저점(20년 8월 0.5%) 대비 높은 수익률을 감안할 때 매력적임. 연준 금리 인하, 고용 약화, 자동차/주택/유틸리티 부문 정부 개입, 인플레이션 둔화를 위한 낮은 CPI 등을 예상함.
약세론: 향후 12개월 내 회사채 금리가 70bp 상승할 것으로 예상.
주간 흐름: 채권으로 172억 달러 유입.
핵심 흐름 (Flows to Know):
현금: 2025년 1.1조 달러 유입 (역대 2번째 규모).
금: 2025년 1,080억 달러 유입 (역대 최대).
투자등급 채권: 2025년 4,150억 달러 유입 (역대 최대).
주식: 2025년 693억 달러 유입 (역대 3번째 규모).
기술주: 2025년 550억 달러 순유출 (단, 지난 5주간 240억 달러 유입 기록).
에너지: 2023년 10월 이후 11억 달러 순유입.
주간 흐름:
현금에서 236억 달러 유출.
채권으로 172억 달러 유입.
주식으로 142억 달러 유입.
금으로 87억 달러 유입 (역대 최대).
암호화폐로 3억 달러 유입 (10주 만의 첫 유입).
■ KOREA WEEKLY KICKSTART - 골드만삭스
시장 동향 요약
KOSPI, 4000선 근접: APEC 정상회의를 앞두고 외국인 자금이 일부 유출되었음에도 불구하고, KOSPI 지수는 지난주 5% 상승하며 4000선에 다가섰습니다.
섹터별 성과: 조선, 건설, 화학 섹터가 시장 대비 강세를 보였고, 식음료, 통신, 소프트웨어 섹터는 부진했습니다.
외국인 순매도: 외국인 투자자는 KOSPI 시장에서 순매도로 전환했으며, 특히 기술주와 기계주를 중심으로 매도했습니다.
실적 전망 상향: KOSPI 12개월 선행 EPS는 1.7% 상향 조정되었습니다. 기술주 전망치가 가장 크게 올랐고, 건설주는 하향 조정 폭이 가장 컸습니다.
원화 약세: 원화는 달러 대비 1.2%, 유로 대비 0.6% 약세를 보였으나, 엔화 대비로는 0.4% 강세를 나타냈습니다.
위험 선호 유지: 골드만삭스 한국 주식 위험 바로미터(GSSRKERB Index)는 0.7로 위험 선호 구간을 유지했습니다.
주요 분석: 달러 약세 &amp; 우선주 기회
달러 약세와 KOSPI:
골드만삭스 외환 전략가들은 향후 12개월간 달러가 약세를 보일 것으로 예상합니다 (무역가중 기준 3%, DXY 지수 기준 6% 하락 예상).
특히 원화는 달러 대비 9% 절상될 것으로 전망합니다.
역사적으로 달러 약세는 한국 증시에 긍정적이었으며, 특히 산업재와 금융 섹터가 수혜를 입었습니다. 아시아 시장 중에서는 중국과 한국이 달러 약세 시기에 좋은 성과를 보였습니다.
우선주 투자 기회:
보통주 대비 할인율이 여전히 큰 상황에서 주요 우선주들이 강세를 보였습니다.
최근 외국인 매수세가 유입되었음에도, 외국인 보유 비중은 여전히 낮은 수준입니다.
가장 유동성이 높은 우선주(삼성전자 우선주로 추정)는 배당 전망치 변화보다 더 크게 할인되어 거래되고 있습니다.
■ WEEKLY ECONOMIC COMMENTARY - 노던트러스트
연준 대차대조표 축소(QT) 종료 임박
연준의 양적 긴축(QT)이 막바지에 다다르고 있습니다. 팬데믹 이후 2.2조 달러 이상 축소되었으며 , 최근 익일물 역레포(ONRRP) 잔고 제로 근접, 상설 레포 기구(SRF) 및 할인 창구 이용 증가 등 시장의 긴축 신호는 과잉 유동성 시대가 끝났음을 시사합니다. 파월 의장의 연설은 곧 안정적인 대차대조표 수준("풍부한(abundant)" 대신 "충분한(ample)" 지급준비금)에 대한 발표가 있을 것임을 암시합니다. 이는 내년 5월 임기 만료 전 그의 마지막 주요 과제가 될 수 있습니다.
신용 시장 위험 점검:
최근 자동차 부품업체 First Brands의 파산은 특히 사모 신용 및 레버리지론 시장의 잠재적 위험을 부각시켰습니다. 규제 및 보고 기준 미비, 잠재적 전염 위험에 대한 우려가 제기되지만, 현재까지 손실은 제한적인 것으로 보입니다. 2007년 이후 최저 수준인 신용 스프레드는 내재된 위험을 과소평가하고 있을 수 있습니다. IMF는 은행들의 비은행 금융기관(NBFI) 익스포저가 시스템적 위험 요인이 될 수 있다고 경고했습니다.
무역 정책 불확실성 고조:
IMF는 무역 정책 불확실성과 파편화를 세계 경제의 가장 큰 위험으로 지목했습니다. 과거 중국에 집중되었던 것과 달리, 최근 미국의 관세 조치는 더 광범위하고 예측 불가능하며, 투자와 소비 위축뿐 아니라 생산성 및 기술 공유 저해를 통해 장기 성장 전망까지 어둡게 합니다. 이는 특히 글로벌 통합에 의존하는 신흥국의 소득 수렴 전망에 큰 위협이 됩니다.
■ [전기전자 In-depth] AI PCB 체리피킹 - 한국투자증권
● 빅테크 AI 인프라 투자는 앞으로 더 확대될 것
- 지난 3년간의 전례없는 CAPEX 확대에도 불구하고 빅테크가 보유한 AI 인프라는 현재의 AI 수요(사용자수 X 토큰 처리량)를 감당하기 역부족
- AI 사용자 수는 꾸준히 증가하는 가운데, 에이전틱 AI 본격화로 토큰 처리량이 폭증하면서 AI 수요 증가세는 오히려 가속되고 있음
- 빅테크는 자사 데이터센터 확충을 넘어 제 3자인 네오클라우드 기업과 협업하면서까지 적극적으로 AI 인프라를 확보하는 형국
- AI로 기존 사업 효율성이 제고되고, 고마진 신규 사업이 창출되는 등의 이유로 최근 3년의 빅테크 실적은 AI 수요 대응을 위한 CAPEX 확대가 결국 수익성 개선으로 이어졌음을 보여주는 중
- 이러한 선순환을 근거로 빅테크의 AI 인프라 투자는 2027년에도 꺾이지 않고 지속될 가능성이 클 것
● VR200용 메모리, ASIC 등 AI 기판 기업 수혜 예상
- 이수페타시스를 제외한 대부분의 중소형 국내 기판 기업은 지금껏 AI 인프라 사이클의 수혜를 누리지 못함. 제품 Mix가 스마트폰 관련 BGA, FPCB, 레거시 메모리용 BOC 등으로 구성되어 있었기 때문. 그러나 2026년부터는 AI 인프라 사이클의 수혜가 더 많은 국내 기판 기업으로 확장될 것
- 이유는 크게 두 가지: 첫째, 엔비디아의 차세대 플랫폼 Vera Rubin부터 적용되는 SoCAMM2, GDDR7 등 신규 메모리 출현 효과. 이는 모듈 PCB, GDDR 패키지 기판 등의 시장 확대를 의미. 심텍, 티엘비 등의 수혜를 예상. 둘째, 비(非)엔비디아 진영의 ASIC, GPU 생산이 확대되고 있음. 2026년은 엔비디아 의존도를 최소화하기 위한 빅테크의 노력이 본격적으로 가시화되는 해가 될 것. 이는 이수페타시스, 대덕전자의 수혜로 이어질 것
● 밸류에이션 지평을 2027년까지 확대
- 심텍, 티엘비, 이수페타시스, 대덕전자의 YTD 주가 상승률은 10/24일 종가 기준 423.8%, 419.1%, 241.0%, 128.4% 순
- 그러나 주가가 단기간 급등한 것 외에 실적 관점에서의 우려는 없음. AI 인프라 사이클은 2027년에도 꺾이지 않을 것이고, VR200부터 적용될 신규 메모리, 비엔비디아 진영의 약진 등 기판 기업의 성장 모멘텀은 명확
- AI 성능 고도화가 회로 패턴 고밀도화, 층수 증가 등을 촉진하면서 기판 제조 공정수(Step)도 늘어나고 있음. 이는 공정 캐파 잠식을 의미하며, 기판 수급 상황이 공급사에게 유리한 방향으로 전개될 것임을 시사
- 이를 종합적으로 고려할 때, 밸류에이션의 지평을 2027년까지 넓혀도 좋다는 의견. 주가 상승여력을 고려한 선호도는 심텍, 대덕전자, 티엘비, 이수페타시스 순
■ 📡 [퀀트 Weekly] - 하나증권
✔️지난주 실적 개선 종목군 내년 실적 전망치 상향, 글로벌 실적모멘텀 지속 중
💬암페놀, 데이터센터/통신인프라 및 커넥터/센서 솔루션 강세 부각
💬버티브 데이터센터/AI인프라 관련 열관리, UPS 등 핵심 디지털 인프라 제품 수요 확대
💬램리서치, 반도체 장비 수요 증가 및 고급 패키징 기술력 등으로 실적 상향
💬금주 목요일 실적 예정인 애플 실적 리비전 상향 크게 부각, 아이폰 17 판매 호조 및 서비스 매출 상향, AI 관련 인프라 및 인력 배치 확대 기대감 반영
💬또한 금주 마이크로소프트, 알파벳, 메타 실적 예정, 추정치는 소폭 상향 정도, 클라우드 및 AI 성장 모멘텀이 주가되는 실적일 것, 또한 CAPEX 증가 등 비용 관련 이슈도 체크 필요
💬반도체 및 장비 업종의 강한 이익모멘텀 부각, 해당 비중 큰 미국 및 한국, 대만 실적모멘텀 부각 형국
✔️ 업종별 흐름
👍 글로벌 상향 업종
💬mREITs
• 금리 하락 기대 → 재융자 및 주택거래 활성화 기대 증가
• 주택공급 부족 및 주택가격 유지로 신용환경 안정
• 일부 mREIT 실적 서프라이즈 등장
💬Metals &amp; Mining
• 중국의 경기 부양 기대 등이 금속수요 회복 신호로 작용
• 공급 제약 심화 → 구조적 수급 개선 기대
• 원자재 가격 반등 흐름
💬Software
• 클라우드·AI·기업 디지털화 지속 → 소프트웨어 수요 확대
• 기업 실적 개선 및 마진 회복 기대
• 구독 모델 확대 및 비용 구조 개선 관측
💬Consumer Finance
• 소비자 신용 회복 및 대출 증가 기대
• 금리 안정 또는 하락 시 대출 활성화 가능성
• 소비자 금융사들의 대출 포트폴리오 안정화 조짐
💬Electronic Equipment, Instruments &amp; Components
• 전자기기 수요 회복 및 기술 전환(예: 메모리·5G) 수혜 기대
• 계측·계량 장비 및 반도체 설비 관련 부품 수요 증가 가능(암페놀 등)
💬Technology Hardware, Storage &amp; Peripherals
• 데이터센터·클라우드·AI 확대로 스토리지 및 주변기기 수요 확대
• PC·노트북 회복 및 기업 하드웨어 교체 사이클 기대
• 하드웨어 업종 밸류에이션 리셋 가능성
💬Semiconductors &amp; Semiconductor Equipment
• AI·클라우드·데이터센터 확장에 따라 반도체 수요 급증 기대
• 반도체 장비 시장이 2025년 사상 최대치 갱신 전망
• 정부 보조금 및 반도체 공급망 재편 수혜
🥲 글로벌 하향 업종
💬Household Durables
고금리 여파로 주택/리모델링 큰지출이 아직 둔함 → 판가 인하로 마진 압박.
💬Airlines: 유가/SAF 등 연료+운영비 급등, 운영 차질 → 가이던스 하향, EPS 컨센서스 컷.
💬Trading Companies &amp; Distributors: 전자·산업재 유통에서 고객이 신규 발주보다 재고 소진 -&gt; 매출/마진 둔화 예상 → 컨센서스 낮춤.
💬Health Care Providers &amp; Services: 간호 인건비 등 비용 레벨 상방 고착 vs 수가 인상 속도 느림 → 병원/의료서비스 마진 회복 지연 → 추정치 보수화.
💬Auto Components: EV 수요 둔화, OEM 가격압박, 구조조정 증가 → 2025~26년 이익률 가정이 지속 하향
💬Marine: 해운 운임 정상화 + 선복 증가 + 친환경 규제 비용 부담 → 팬데믹 호황 때의 초과마진이 사라지며 이익 추정치가 단계적으로 낮아짐.
✔️ 글로벌 종목 실적 리비전
👍상향 주요 종목: 암페놀, 버티브홀딩스, 램리서치, 인투이티브서지컬, 캐피탈원, 인텔, 뉴몬트, 프롤로지스, 아그니코이글마인스, GE버노바, 무디스, 바클레이스, 브룩필드, GE, 보잉, RTX, 카바나, 보스턴사이언티픽, 닌텐도, IBM, 애플, 에퀴닉스, 3M, 스포티파이테크, TSMC, AMD, 록키드마틴, 모건스텐리 등
🥲하향 주요 종목: 텍사스인스트루먼트, 엘레방스헬스, 테슬라, 메이츄안, 허니웰, 지멘스에너지, 티모바일, 알리바바, 소프트뱅크, 디어앤코, 다나허, 셰브론, 유나이티드파슬, 스트러터지, 사노피, 스타벅스, 프로그레시브, 코인베이스, 유니온퍼시픽, 유니레버 등
✔️ 국내 실적 전망 (코스피 3Q25F YoY +13.1% 예상, 이익 반등 지속)
💬3Q25F OP 추정치: 78.3조원 (1개월 +0.4%, 1주전대비 +0.1%)
💬올해 OP 전망치: 292조원 (1개월 +2.2%, 1주전대비 +0.7%)
💬한국 이익 추정치 상향 추세, 특히 내년 26년 한국 OP 이익 추정치는 1개월간 +8% 상향(378조원), 26년 OP 증가율 +29%까지 상향
✔️ 국내 대형주/업종/종목 리비전 특징(26F OP 기준)
👍 상향: 삼성전자/SK하이닉스/삼성바이오로직스/HD현대중공업/한화에어로스페이스/한화오션/SK스퀘어
🥲 하향: LG에너지솔루션/현대차/기아/셀트리온/LG화학/POSCO홀딩스/카카오/알테오젠
👍'26F OP 상향 업종: 반도체/디스플레이/조선/자동차부품/철강/건자재/전기장비/방송엔터
🥲'26F OP 하향 업종: 항공/건설/상사/섬유의복/화학/화장품/제약/해운/자동차/게임/호텔레저
👍'26F OP 상향 주요 종목: 롯데관광개발/효성/LG디스플레이/한올바이오파마/삼성전자/한온시스템/OCI홀딩스/엘앤에프/SK하이닉스/카카오게임즈/삼성중공업/심텍/삼성SDI/S-Oil/HD현대일렉트릭/미래에셋생명/HD현대/한화엔진/원익IPS/삼성바이오로직스/HD현대중공업/HD현대마린엔진/유진테크/DB하이텍/이오테크닉스/유한양행/SK케미칼/한국금융지주/F&amp;F
✔️ 국내 수급 특징 (지난주 금요일 기준)
💬외국인: 중형주 및 고배당 스타일에만 순매수
코스피 -8,000억원, 코스닥 -500억원
순매수 상위: 디스플레이, 기술하드웨어, 상사, 조선, 정유
순매도 상위: 내구소비재, 건강관리장비, 은행, 증권, 상호미디어
💬연기금: 대형주 및 소형주 베팅
코스피 +570억원, 코스닥 -690억원
순매수 상위: 정유, 화학, 철강, 상사, 증권
순매도 상위: 디스플레이, 항공, 해운, 유통, 필수재
✔️ 금주 주요 일정
💬10.27(월) 미국 신규 주택판매 / 한화오션, 포스코홀딩스, 포스코퓨처엠, 기업은행, NH투자증권, 현대건설, NXP세미컨덕터즈
💬28(화) 미국 CB 소비자신뢰지수 / 삼성바이오로직스, 신한지주, 하나금융지주, 삼성SDI, 비자, 유나이티드헬스, 아메리칸타워
💬29(수) 미국 원유재고, FOMC / SK하이닉스, 두산에너빌리티, 삼성물산, 우리금융, 삼성전기, 아모레퍼시픽, 엘엔에프, 마이크로소프트, 알파벳, 메타
💬30(목) 미국 GDP / 현대차, KB금융, 현대모비스, 두산, HD마린솔루션, 현대글로비스, 키움증권, 삼성증권, LGD, 애플, 아마존닷컴, 일라이릴리, 마스터카드
💬31(금) 미국 근원 소비지출물가지수 / 기아, LG화학, SK이노베이션, 한화시스템, 엑슨모빌, 애브비, 셰브론
✔️ 퀀트 코멘트 요약
💬지난주 IT 기업 실적 호조와 금주 빅테크 기업(애플, MS, 알파벳 등)들 실적 상향 부각되며 어닝 서프라이즈 흐름 지속 가능성 부각, 한국 및 미국, 대만 실적 상향 지속
💬미국 배당 스타일 반등세 관찰, 실적 팩터 역시 지속 상승 중
💬한국 반도체 실적 상향 지속 가운데, 조/방/원 실적모멘텀 꾸준히 이어지는 중
💬원화 약세 부각되며 외인 국내증시 매수세 둔화, 다만 고객예탁금 및 국내펀드 설정액, ETF 설정액 등 개인 수급 유입은 크게 늘어나는 상황
💬한국 배당주와 미국 실적주 관심 지속 필요
■ [조선 Weekly] 다수의 수주 및 수주 예상 건 발표와 APEC 기대감 - SK증권
● 신조선가지수 185.03pt(-0.30pt), 중고선가지수 188.28pt(+0.73pt) 기록
● HD현대중공업은 HMM으로부터 VLCC 2척을 척 당 $128.0m에 수주. 납기는 ‘27년 11월 예정
● 에버그린(Evergreen)은 14,000-TEU급 LNG DF 컨선 14척을 발주. 한국의 삼성중공업과 중국 광저우조선소에 각각 7척씩 발주할 예정이며, 선가는 공개되지 않았으나 약 $200m으로 추정되며 한국과 중국은 최소 $10m 차이 예상
● 대만 양밍(Yang Ming)은 13,000-TEU급 LNG DF 컨선 최대 7척 신조 발주를 추진 중. 양밍은 지난 9월 15,800TEU LNG DF 컨테이너선 7척을 한화오션에게 발주한 바 있으며, 해당 입찰 과정에서 중국 조선소는 배제됐었기 때문에 이번 발주 또한 한국 조선 3사와 일본, 대만 조선사의 입찰 경쟁을 예상
● 노르웨이 에퀴노르(Equinor)는 최대 4척(확정 2+옵션 2)의 174K-CBM급 LNGC 신조 발주를 추진. LNGC 건조 조선소로 한국의 한화오션을 선정했다고 전해짐
● 미국 Venture Global의 CP2 LNG 프로젝트가 미 에너지부(DOE)로부터 비 FTA 국가로의 LNG 수출에 대한 ‘최종 승인(Final Authorization)’을 획득. 해당 프로젝트에 필요한 LNGC 발주가 곧 발표될 것으로 예상
● 삼성중공업은 미국 Delfin FLNG 건조 LOA를 수령. 본계약 서명만 남은 상황으로, 올해 11월에 20억불 규모의 Delfin FLNG 1호기 수주할 것으로 전망. Delfin FLNG 2호기, 3호기 또한 삼성중공업의 FLNG 수주 파이프라인
● 삼성중공업은 조디악 마리타임으로부터 Suemax급 원유탱커 3척을 수주. 선가는 척 당 $79.5m이며, 납기는 ‘29년 3월. 이번 계약은 삼성중공업의 새로운 하도급 프로젝트 중 하나로, 베트남 PVSM 조선소에서 건조될 예정
● 외신 보도에 따르면 트럼프 미 대통령이 중국의 잠재적 위협에 대응하기 위해 ‘황금 함대(Golden Fleet)’ 개발을 추진하는 것으로 알려짐. 백악관과 미 해군 고위 관계자들이 기존 함정 구성을 대체할 함대를 만드는 초기 논의에 들어갔으며, 새로운 함대는 강력한 장거리 미사일을 탑재한 대형 전투함과 소형 호위함 등으로 구성될 예정
● 미 트럼프 대통령이 APEC 정상회의 참석을 위해 오는 29일 방한하는 가운데 국내 조선소 방문할 가능성 거론되는 중. 하워드 러트닉 미 상무부 장관이 대신 방문을 검토한다는 보도 나왔으나, 아직 최종 협의된 사항은 아닌 것으로 확인
● 캐나다 마크 카니 총리가 APEC 참석을 위한 방한 일정 중 약 60조원 규모의 신형 잠수함 구매 사업(CPSP)을 위해 한화오션 거제 조선소 방문을 약속. 해당 프로젝트는 독일 TKMS와 경쟁 중으로 1년 내 최종 사업자 선정될 전망
● HD현대중공업은 APEC 정상회의 기간 페루 국영 시마 조선소와 잠수함 사업 협약을 체결할 예정. 이는 지난 4월 잠수함 공동개발 사업 MOU 후속 절차로, 양사는 HD현대중공업의 HDS-1500를 기반으로 중형 잠수함을 건조할 계획
● APEC 기간 트럼프 미 대통령의 국내 야드 방문과 함께 이후 마스가(MASGA) 프로젝트를 기반으로 한 한-미 조선업 협력에 대한 방향성 혹은 구체적 계획이 공개될 때 마다, 추가적인 주가 상승 모멘텀으로 작용할 것으로 전망
● 현재 글로벌 함정 시장은 ①노후 함대 교체, ②지정학적 리스크 확대, ③기술 혁신, ④조선업에 대한 정책 변화 등의 요인으로 촉발된 글로벌 해군 현대화 사이클에 진입한 상황. 중장기적 관점에서 한화오션과 HD현대중공업 특수선 사업 부문의 구조정 성장 기대감에 따른 지속적인 멀티플 확장을 예상. 조선업 비중확대(Overweight) 의견 유지
■ [은행 Weekly (Overweight)] 답답하지만 건전한 기간 조정의 흐름으로 판단 - 하나증권
▶ 전주에도 은행주 시장대비 큰폭 초과하락. 절대 주가 레벨은 횡보 양상을 보이고 있지만 KOSPI 급등세를 쫒아가지 못하고 있음
- 전주에도 은행주는 0.6% 상승에 그쳐 KOSPI 상승률 5.1% 대비 큰폭 초과하락. 최근 1개월간 은행주의 KOSPI 대비 초과하락 폭은 13.7%p로 커졌으며 최근 3개월 초과하락 폭은 25.5%에 달해 절대적인 주가 레벨은 횡보 양상을 보이고 있지만 9월 이후 급등하고 있는 KOSPI 상승률을 전혀 쫒아가지 못하고 있는 상황(KOSPI 상승은 IT와 배터리, 조선업종 등이 주로 견인)
- 지난주에는 특이 이슈는 없었던 가운데 정부가 비수도권 정책금융을 3년내 24조원 가량 확대하는 방안을 발표. 민간금융도 비수도권에 공급을 확대하도록 비수도권 대출에는 예대율 규제를 완화하는 방안을 검토하기로 함. 정책금융은 상장은행 중에서는 기업은행에만 해당되는 내용인데다 2분기말 기준 은행들의 평균 예대율이 98.2%로 100%를 다소 하회하고 있어 예대율 완화가 민간은행들의 지방대출 확대를 위한 강력한 동인으로 작용하기는 다소 어려울 것으로 전망
- 한편 원/달러 환율은 한미 관세협상 불확실성이 지속되고 있고, 일본 총리 취임 이후의 엔화 약세 심화 현상 등으로 상승해 1,439.4원으로 마감했고 한주간 17.2원이나 상승. 지난주 외국인들은 은행주 순매도 규모를 확대. 1,780억원을 순매도해 KOSPI 순매도액 7,920억원을 감안해도 은행주 매도 규모가 상당했음. 반면 국내 기관은 KOSPI와 은행주를 각각 2.6조원과 1,750억원 순매수
▶ 한은 금통위 예상대로 기준금리 동결. 사실상 연내 인하가 어려워졌다는 시각 대다수. 다만 컨센서스 변화 여지는 있다고 판단
- 10월 금통위에서는 예상대로 기준금리를 동결. 1명의 인하 소수의견이 있었는데 한은 총재는 부동산시장 과열에 따른 금융 불안 위험을 우려하며 금리 인하 시기와 폭에 대해서 신중한 조정이 불파기함을 시사. 최근 원/달러 환율이 상승 중인데다 정부의 부동산대책 효과가 확인되어야 한다는 점에서 시장에서는 사실상 연내 인하가 어려워졌다는 시각
- 다만 한은이 금융안정에 포커스를 두고는 있지만 미국이 기준금리 인하 추세를 빠르게 이어나갈 경우 마냥 동결 기조로 계속 가기도 부담이 있는 상황. 한미 관세 협상 결과와 반도체 업황 여부, 환율 상황 등에 따라 컨센서스가 변화될 여지는 있다고 판단
▶ 은행 3분기 실적은 컨센서스보다 높아진 최근 조정 추정 순익을 추가 상회 예상. 비과세 감액 배당 검토 답변 등이 주요 관심사
- 금주 28일 신한지주를 시작으로 은행지주사 3분기 실적 발표 시즌 개막. 실적은 컨센서스보다 소폭 높아진 애널리스트들의 조정된 추정 순익을 추가적으로 상회할 수 있을 것으로 예상. 자본비율도 일부 은행을 제외하고는 전체적으로 추가 상승하면서 당장의 실적과 펀더멘털 측면에서는 투자자들의 우려가 발생할 일은 없을 전망
- 금번 실적 발표 Q&amp;A에서 향후 비과세 감액 배당 실시 여부에 대한 긍정적인 검토 답변 등이 나올 것으로 예상되는데 이러한 요인은 2026년 하반기경부터 은행주 상승의 주요 모멘텀으로 작용 가능할 것으로 예상(우리금융 제외 전 은행들이 2026년 결산배당 지급 시기인 2027년초부터 배당이 비과세되기 때문). 세금 이슈에 민감한 개인 고액자산가들의 은행주 투자 유인이 상당히 커지기 때문
▶ 답답한 상황 이어지고 있지만 건전한 조정 흐름으로 판단. 가격 조정은 없는데다 multiple 및 주주환원율 상승 신뢰감 높기 때문
- 지수가 급등하고 있음에도 은행주는 제자리 걸음을 하면서 상당히 답답한 상황이 이어지고 있지만 우리는 건전한 조정 흐름으로 판단. 2024년초부터 2025년 상반기까지 워낙 은행주의 상승 폭이 컸던데 따른 피로감으로 기간 조정은 자연스러운 모습이고 최근의 각종 우려 요인 및 불확실성 발생에도 불구하고 가격 조정 양상은 나타나고 있지 않으며(시장이 아무리 좋아도 가격이 하락할 업종은 주가가 하락) 글로벌 상대 PBR 측면에서 한국 은행주는 여전히 multiple 상승 여력이 크고, 주주환원율 추가 상승에 대한 신뢰감도 높기 때문
- 단기적으로는 원/달러 환율 하향안정화 여부 및 배당소득 분리과세 세율 인하 결정, 3차 상법개정안 통과 등이 은행주 투자심리를 개선시킬 수 있는 요인으로 작용될 수 있다고 판단
▶ 금주 은행 주간 선호 종목으로 KB금융(매수/TP 147,000원)과 BNK금융(매수/TP 19,000원)을 제시
■ [철강금속 Weekly] 중국 조강 생산 감소세 지속 전망 - 하나증권
▶ 철강금속 주요 지표 동향
- 국내 철강 유통가격: 성수기 불구, 수요 여전히 부진, 특히 철근은 과열 경쟁까지 이어지며 가격 급락
- 중국 철강 유통가격: 4중전회 이후 뚜렷한 수요 회복 신호 부진으로 전반적으로 약세 지속
- 산업용 금속가격: 미달러 강세 불구, 중국 4중전회 이후 부양책 기대감으로 큰 폭 상승. 귀금속 가격은 약세 전환
▶ 철강금속기업 주가 동향
- 총평: 중국 정부의 경기 부양책 기대감으로 전반적으로 상승 마감
▶ 주간 Issue &amp; Comment
- 중국 조강 생산 감소세 지속 전망: 전세계철강협회(WSA)에 따르면 전세계 9월 조강 생산은 전년동기대비 1.6% 감소한 1.4억톤을, 9월 누적으로도 1.6% 감소한 13.7억톤을 기록했다. 특히 전세계 최대 생산국인 중국의 감소세가 두드러졌는데 9월에 7,350만톤을 생산하면서 전년동기대비 4.6% 감소했고 9월 누적으로도 7.5억톤으로 2.9% 감소했다. 기본적으로 건설용 강재 중심으로 수요가 부진한 상황에서 9월초 베이징 기념행사 전후로 대기질 개선을 위해 중국 북부 제철소를 대상으로 한 생산 규제가 생산 감소로 이어졌다. 또한 수익성 악화도 원인으로 작용했는데 Mysteel에 따르면 중국 고로의 열연 생산 이익률이 8월 톤당 139위안에서 9월에는 51.5위안으로 하락했다. 참고로 중국 최대 철강 생산 지역인 허베이성의 경우 9월 누적 조강 생산이 전년동기대비 14.3% 급감했다. 중국의 철강 수요 부진과 전세계적으로 확산되고 있는 중국산 철강 수입 규제 강화를 감안하면 중국 철강 생산 감소세는 앞으로도 지속될 것으로 예상된다.
■ [에너지화학 Weekly] 대러 제재 강화가 주가 반등의 트리거 - 하나증권
[총평]
▶ 정제마진 13.0$/bbl(WoW -0.7$), 석유화학 혼조 입니다.
▶ Top Picks는 S-Oil, 대한유화, KCC, 금호석유화학, 롯데정밀화학 입니다.
[대러 제재 강화가 주가 반등의 트리거]
▶ 미국은 10/23일 러시아 석유업체 Lukoil과 Roseneft를 제재 대상으로 지정. 해당 회사의 정유 자회사도 대상. 미국은 러시아 및 이란의 원유를 조달하는 중국에 대해서도 제재 중. 중국 원유 수입량의 9%를 차지하는 Rizhao Shihua 원유수입 터미널과 일부 선박이 최근 블랙리스트 올라
▶ 10/23일 EU는 19차 대러 제재 패키지 합의. 해당 패키지는 1) 중국 석유관련 기업 4군데가 포함(독립 정유사 2군데) 2) 러시아산 LNG 수입 전면 금지 3) 러시아 국영 에너지 기업인 Roseneft와 Gazprom Neft와의 거래 금지
▶ 영국은 Top 2 석유업체 Lukoil, Roseneft와 러시아 원유를 조달하는 정유업체 Shandong Youlong PC와 항만업체 제재
▶ 트럼프는 모디 총리와의 직접 통화를 통해 인도가 러시아산 원유 구매를 축소하기로 합의했고, 인도 정유업계 고위 관계자들은 더 이상 러시아산 원유 수입을 이어가는 것이 불가능해졌다고 밝혀. 트럼프는 다음 주 열리는 APEC 회담에서 시진핑과 함께 중국의 러시아산 원유 구매 문제를 논의할 계획
▶ 미국의 SPR 100만bbl 매입 소식과 러시아 석유업체 제재 등으로 유가는 WTI 60$/bbl 탈환
▶ Roseneft와 Lukoil은 러시아 원유 수출량(해상 운송 기준) 약 400만b/d의 절반 가량 차지. 중국은 약 140만b/d, 인도는 약 100만b/d의 러시아산 원유를 해상으로 수입해 당장 두 국가의 원유 조달과 정제설비 가동 차질 발생 가능성 높아
▶ 결론: 1) 대러 제재 강화로 유가 하락 가능성 제한적 2) 인도/중국은 저렴한 원가 조달 우위가 소멸될 것 3) 반면, 중동산 원유 수요 증가로 인한 OPEC+의 빠른 감산 완화는 아시아향 OSP 하향 요인. 한국업체의 조달 원가 낮아질 것 4) 지난 4년 간 아시아 내에서 원가 열위였던 한국 정유/화학 업체들의 원가 경쟁력 회복 국면 진입 5) 정유/석유화학 업체 실적/주가 Bottom Out 예상
■ [Battery Weekly] ESS 키워드에 집중 - 하나증권
▶ 데이터 포인트 해석 및 투자 전략 : LG에너지솔루션과 중소형주
- 테슬라의 3분기 ESS 설치량은 12.5GWh로, YoY +81%, QoQ +30% 증가했다. 3분기까지 누적 설치량은 32.5GWh로, YoY +60% 증가했다. 미국의 Green Backlash 기조 속에서도 건설 기간이 짧은 재생에너지원에 대한 수요 증가, 데이터센터의 부하 조정 수요 증가가 맞물리며 ESS 설치 수요 역시 지속 증가하고 있다.
- 북미 + LFP + ESS 키워드에 가장 부합하는 기업은 LG에너지솔루션과 엘앤에프다. 2026년 4분기부터는 삼성SDI도 관련 수혜가 시작된다. 특히 셀 메이커들은 AMPC로 인한 추가 이익이 있다는 점에서 관련 수혜가 더 크다. 해당 기업들의 경우 2027년부터는 전기차의 부진을 ESS로 상당부분 메꿀 수 있을 것으로 판단한다.
- 물론, 이들 역시 전기차 시황 부진으로 인해 2026년 실적 전망에 대한 리스크가 여전히 존재한다는 점에서 한계가 있다. 그러나 2026년 실적 가이던스가 제시되는 2026년 1월 말 이전까지는 단기 악재(전기차)보다 미래 기대감(ESS)에 주가가 더 민감하게 반응할 가능성이 높다. 배터리 섹터 버블이 한창이던 시기에는 선제적인 매도로 리스크 대응이 필요했다면 지금은 2년만의 반등 국면이므로 short으로 대응하는 것이 더 리스크가 크다고 판단한다.
- 이에 수급 논리까지 더해지고 있다. 시가총액 1,000조에 달하는 반도체 Top 2를 기관들이 수급 rule로 인해 추가 매수하기 어려운 상황에서, 앞서 언급한 ESS 논리가 맞물리며 당분간은 배터리로의 수급 이동세가 지속될 가능성이 높다.
- 가장 수혜 확고한 LG에너지솔루션의 경우, 2분기 실적발표 당시 새롭게 확인한 ESS 성장 근거를 바탕으로 도출했던 트레이딩 밴드의 최상단(105조원)에 도달했다는 점에서 단기 상승 탄력은 둔화될 수 있다. 다만, ESS 수혜 가장 크다는 점 고려할 때 주가 하방 리스크 역시 제한적이다. LG에너지솔루션은 시장 비중만큼 채워두되 추가 엣지는 ESS 수혜가 있으면서 주가 상승 여력 남아있는 중소형주에서 찾는 것이 적절하다. 엘앤에프는 여전히 상승 여력 남아있다고 판단된다. 이외 LFP 관련 제품군 보유한 부품 및 소재 중소형 주들 역시 추가 기회가 있을 것으로 판단한다(관련 종목 : 한중엔시에스, 탑머티리얼 등).
▶ Energy : BNEF, 2025년 ESS YoY +23% 증가 전망
- BNEF는 2025년 글로벌 에너지 저장 용량이 92GW로, 전년 대비 23% 증가할 것으로 전망했다.
- Modo Energy에 따르면, 영국의 182개 Grid ESS 프로젝트 중 20곳에 Tesla 메가팩이 적용되고 있다.
- 폭스콘은 중국 허난성 정저우 공장에서 2025년 4분기부터 ESS 양산을 시작할 예정이다.
- BlackRock 산하 VENA 그룹은 한국 재생에너지 프로젝트와 재생에너지 연계형 AI 데이터센터에 20조원을 투자할 계획이다.
- GS그룹의 기업주도형 벤처캐피털(CVC) GS퓨처스는 미국 가정용 배터리 제조업체 Pila Energy에 시드 펀딩 라운드를 통해 투자했다.
▶ Car : GM, 연간 EPS 가이던스 상향
- Tesla 주가는 한 주간 -1.3% 하락했고, 미국 전기차 스타트업 주가는 하락했다(Lucid -5.9%, Rivian -0.4%). 중국 전기차 기업 주가는 상이했다(Xpeng +2.0%, Nio +2.2%, Li Auto -2.6%).
- GM의 CFO는 현재 전기차 생산의 40%만 수익을 내고 있다고 언급했다. 한편, GM의 3Q25 실적은 매출 486억달러(YoY -0%), 영업이익 34억달러(YoY -18%), 전기차 판매 6.7만대(YoY +107%)를 기록했으며, 2025년 조정 EPS 가이던스를 기존 8.25~10.00달러에서 9.75~10.50달러로 상향했다. 한편, GM은 2028년 출시 예정인 'ESCALADE IQ'에 전방 주시가 필요 없는 자율주행 기술을 탑재할 계획이라고 밝혔다.
- Ford는 미시간 공장에서 전기 픽업 트럭 ‘F-150 Lightning’ 생산을 잠정 중단하고, 가솔린 및 하이브리드 F-Series를 우선 생산할 예정이다.
- Stellantis는 2026년 출시 예정이던 알파로메오 전기차(Giulia EV, Stelvio EV) 출시를 연기하고, 가솔린 모델을 최소 1년 더 판매할 계획이라고 밝혔다.
- 한국 정부는 무공해차 보급 목표를 2026년 28%, 2028년 36%, 2030년 50%로 상향하고, 목표 미달 시 2028년부터 1대당 벌금을 150원에서 300만원으로 인상할 계획이다.
- 현대차는 2027년 자체 설계 배터리를 탑재한 EREV를 출시할 계획이다.
- 중국승용차연합회(CPCA)에 따르면, 2025년 3분기 중국 전기차 시장에서 160Wh/kg 이상 차량 비중은 7%(YoY -4%p)였다.
▶ Cell : DOE, 친환경 프로젝트 보조금 철회
- 배터리 대형주 3사 합산 유니버스(LGES, 삼성SDI, SK이노베이션) 주가는 ESS 사업 기대감으로 +13.9% 상승했고(삼성SDI +14.7%, LG에너지솔루션 +13.4%, SK이노베이션 +15.6%), 코스피 대비 +8.8%p Out-perform했다.
- 미국 에너지부(DOE)는 총 7억달러 이상의 배터리 및 친환경 프로젝트 보조금을 철회했다.
- GM 회장은 중저가 전기차 시장 경쟁력 확보를 위해 2028년까지 LMR 배터리를 상용화할 계획이라고 밝혔다.
- Nvidia가 미국 배터리 재활용 기업 Redwood Materials의 3.5억달러 규모 시리즈 E 투자에 참여했다.
- 삼성SDI는 헝가리 괴드 1공장 일부를 '사이드터미널 각형 배터리' 라인으로 전환 중이며, 2027년부터 양산 예정이다.
▶Material/Equipment : 탄산리튬 선물가격 상승
- 2차전지 소재 합산 유니버스는 한 주간 +14.0% 상승했다. 국내 주요 양극재 기업 주가는 3분기 실적 기대감으로 상승했다(포스코퓨처엠 +25.1%, 에코프로비엠 +7.2%, 엘앤에프 +20.4%). 중국 소재 기업 주가는 상이했다(Beijing Easpring +3.4%, Guangzhou Tinci -0.3%, Yunnan Energy -1.1%).
- 미국과 호주는 핵심 광물 및 희토류 공급망 강화를 위한 협력 프레임워크에 공동 서명했다.
- 2025년 10월 23일 중국 광저우 선물거래소에서 탄산리튬 선물 가격은 1kg당 11.2달러를 기록하며 하루 만에 +4.2% 상승했다.
- 광물별 전주 대비 가격 증감률은 리튬(+5.7%), 니켈(+0.9%), 코발트(+12.4%), 망간(-0.2%), 알루미늄(+2.9%), 구리(+2.0%), LiPF6(+14.9%)이며, 전분기 대비 증감률은 리튬(+0.8%), 니켈(+0.4%), 코발트(+15.8%), 망간(-1.6%), 알루미늄(+5.4%), 구리(+8.3%), LiPF6(+32.7%)다.
- 10월 4주 유럽 주요 3국(영국, 독일, 프랑스) 전력 가격은 평균 79.6유로/MWh로 WoW -2.2% 하락했다. 10월 전력 가격 평균은 80.9유로/MWh로 MoM +5.4% 상승했다.
■ [게임 Weekly (Overweight)] 실적 시즌 전 주요 사항, 내년을 준비할 때 - 하나증권
● 크래프톤, 네오위즈 Top Pick 유지
- 게임 산업은 지수 상승 랠리에서 소외. 1) 타 산업 대비 업황 개선이 뚜렷하지 않고 2) 경쟁 심화에 따라 기업별 편차가 확대되고 있으며 3) 흥행 산업의 특성상 내년 실적에 대한 가시성도 높지 않기 때문이라 해석
- 통상적으로 11월은 내년 라인업에 대한 정보를 확인할 수 있는 시기. 3분기 실적 발표, 지스타에서 각 게임사들의 신작 라인업 및 전략 공개 기대
- 게임 섹터에 대한 투자 의견은 기존과 같음. 대형주 Top Pick: 크래프톤, 중소형주 Top Pick: 네오위즈 유지
- 커버리지 내 3분기 실적은 다소 밋밋. 컨센서스 상회를 기대할 수 있는 종목은 네오위즈이며 전 분기 대비 이익 성장이 예상되는 종목은 크래프톤
- 네오위즈는 매 분기 추정치가 상향되는 이상적인 흐름을 보이고 있어 긍정적. 3분기 영업이익은 201억원(+211.4%YoY, +8.3%QoQ)으로 추정. [브라운더스트2]의 2주년 업데이트 이연 매출 반영, 흥행 지속과 인디게임 신작 [셰이프 오브 드림즈]가 50만장 이상 판매된 영향
- 2026년 DLC 등 대형 신작은 부재하나 [킹덤2], [안녕 서울: 이태원편], [킬 더섀도우] 출시 예정이고 [P의 거짓] 지속적인 판매, [브라운더스트2] 성장 가능성 높음. 이익 안정성을 갖춘 상태에서 [P의 거짓] 후속작 포함 PC/콘솔 라인업 5종 공개를 기다릴 수 있어 편안한 구간이라 판단
- 크래프톤의 3분기 영업이익은 3,559억원(+9.7%YoY, +44.6%QoQ)으로 추정. 3분기 PC 콜라보 3종의 효과, 모바일 트래픽 상승에 동반한 매출 증가를 반영. 최근 EA의 [배틀필드6]가 역대급 흥행을 거두며 PC에서 경쟁 심화에 대한 우려가 대두되고 있으나 주요 지역은 북미이고 장르의 차이가 있기에 영향은 제한적이라 판단
- 지난 2년간 평균 접속자 수가 +70% 이상 증가한 만큼 숨고르기 구간으로 해석하며 2026년 PAYDAY 모드, UGC 베타 출시로 재차 성장 기대 가능. [화평정영]을 포함한 모바일 트래픽은 텐센트의 실적발표를 통해 반등 확인되고 있음
- 이번 지스타에서는 [팰월드 모바일]을 최초 공개 예정. 2024년 1월 출시된 포켓페어의 [팰월드]가 누적 플레이어 3,200만명을 돌파한만큼 모바일 역시 글로벌에서 유의미한 성과 전망
● 엔씨소프트/넷마블 : MMORPG 시장 주도
- 엔씨소프트는 3분기 영업적자 -211억원으로 컨센서스 하회 예상. 조직 효율화로 인한일회성 퇴직금 반영 영향. 결국 중요한 건 11월 19일 출시하는 [아이온2]. 10월 30일 지포스 게이머 페스티벌, 11월 13일 지스타에서 시연 예정. 목표 주가 260,000원까지 상승 여력 충분
- 레거시 IP의 매출 하향 안정화되고 있으나 국내 MMORPG 대표작인 [리니지M]은 하방 지지. 리니지라이크 게임의 범람 속에서 [아이온2]가 비교적 저렴한 BM으로 흥행에 성공한다면 다시금 트렌드가 바뀔 수 있기에 주목할 필요가 있음
- 넷마블은 3분기 영업이익 795억원(+21.4%YoY, -21.4%QoQ)로 컨센서스 부합 예상. 8월 출시한 [뱀피르]의 흥행, [세븐나이츠 리버스]의 글로벌 확장 영향. 올해 [RF온라인 넥스트], [세븐나이츠 리버스], [뱀피르]로 안정적 이익 창출에 성공
- 넷마블은 내년 1분기 출시 예상되는 [쏠: 인첸트]까지 포함하면 2년 내에 5종의 MMORPG 라인업을 갖추게 됨. MMORPG의 높은 수익성 기반 위에 2026년 1월 28일 출시하는 [일곱 개의 대죄: 오리진]의 성과로 매출의 장르/지역 다각화 기대
● 더블유게임즈 : 추가 M&amp;A 기대. 시프트업: 후속작 정보 공개 기대
- 더블유게임즈는 3분기 영업이익 567억원(-4.6%YoY, +4.4%QoQ)으로 컨센서스 부합 예상. 2분기 팍시 게임즈를 인수했으며 3분기부터는 와우 게임즈도 연결 반영. 올해 2건의 M&amp;A를 진행했고, 슈퍼네이션의 성장 확인되고 있어 긍정적
- 기존 달러-원 환율 하락을 예상했으나 3분기 기점으로 강달러 국면 지속되고 있어 높은 환율 기저로 인한 부담은 제한적. 추가 M&amp;A를 위한 현금 여력은 충분하기</t>
  </si>
  <si>
    <t xml:space="preserve"> 소셜카지노</t>
  </si>
  <si>
    <t xml:space="preserve"> 아이게이밍</t>
  </si>
  <si>
    <t xml:space="preserve"> 캐주얼 중심 M&amp;A를 통한 지속적인 외형 확장 기대. 팍시게임즈의 머지2 신작</t>
  </si>
  <si>
    <t xml:space="preserve"> 자체 캐주얼 라인업의 성과 확인 시 추정치 상향 가능</t>
  </si>
  <si>
    <t>- 시프트업은 3분기 [승리의 여신: 니케] 글로벌이 신규 캐릭터 출시로 반등에 성공했으나 중국이 기대 대비 부진했던 것으로 파악. [스텔라 블레이드]는 안정적인 판매량 지속. 다만 기존 추정처럼 2026년 영업이익의 감소는 불가피</t>
  </si>
  <si>
    <t>- 결국 현시점에서 필요한 것은 1) [승리의 여신: 니케]의 안정적인 성과 확인</t>
  </si>
  <si>
    <t xml:space="preserve"> 2) 2027년 이후 [스텔라 블레이드2]</t>
  </si>
  <si>
    <t xml:space="preserve"> [프로젝트 스피릿]에 대한 정보. 연내 [프로젝트 스피릿]의 추가 정보 공개 예정되어 있고 [스텔라 블레이드2]는 내년 중순 공개 기대</t>
  </si>
  <si>
    <t>■ [반도체/소부장 Weekly (Overweight)] 거침없는 질주 - 하나증권</t>
  </si>
  <si>
    <t>● 데이터 포인트 및 주간 리뷰 : 메모리 가격 상승폭 확대</t>
  </si>
  <si>
    <t>10월 20일까지 영업일 평균 메모리 수출 금액은 전년동월대비 69% 증가한 5.2억 달러를 기록. 구체적으로 DRAM의 영업일 평균 수출 금액은 전년동월대비 104% 증가한 1.9억 달러를 기록했고</t>
  </si>
  <si>
    <t xml:space="preserve"> NAND는 전년동월대비 58% 증가한 3</t>
  </si>
  <si>
    <t>479만 달러를 달성. 황금 연휴 영향으로 영업일수가 짧았음에도 불구하고</t>
  </si>
  <si>
    <t xml:space="preserve"> 타이트한 메모리 수급에 의한 메모리 가격 상승이 확인되고 있는 것으로 추정</t>
  </si>
  <si>
    <t>Trend Force에서 25년 4분기 계약 가격 전망치를 재차 상향. 상향 조정의 배경에는 CSP들로부터 추가 주문을 받으면서</t>
  </si>
  <si>
    <t xml:space="preserve"> DRAM 가격이 전분기대비 20% 이상 인상되는 과정이 반영된 것으로 보임. 구체적으로 PC DRAM의 Blended ASP는 기존 3~8%에서 18~23%로 상향됐고</t>
  </si>
  <si>
    <t xml:space="preserve"> Server향은 기존 5~10%에서 15~20%로 상향. Mobile향 또한 LPD5와 LPD4 모두 기존 8~13%</t>
  </si>
  <si>
    <t xml:space="preserve"> 15~20%에서 20~25%</t>
  </si>
  <si>
    <t xml:space="preserve"> 18~23%로 상향. 종합적으로 Conventional DRAM은 기존 8~13%에서 18~23%로 상향되었고</t>
  </si>
  <si>
    <t xml:space="preserve"> HBM의 Blended ASP도 기존 13~18%에서 23~28%로 상향</t>
  </si>
  <si>
    <t>코스피 지수는 5.1% 상승하며 3주 연속 양호한 흐름이 이어짐. 삼성전자 주가는 0.9% 상승에 그치며 2주 연속 지수를 하회했다. SK하이닉스 주가는 9.6% 상승하며 3주 연속 지수를 상회. 일반 DRAM 가격 중심으로 상승하는 구간에서도 SK하이닉스 주가가 상대적으로 양호한 이유는 삼성전자와 달리 전사 실적이 온전히 메모리에 노출되어 있기 때문으로 판단</t>
  </si>
  <si>
    <t>하나증권 커버리지 소부장 업체들은 코스닥 지수의 반등과 함께 대체로 양호한 주가 흐름을 시현. 지난 주에 이어 브이엠의 주가가 10.1% 상승하며 아웃퍼폼을 크게 했음. 지난 주에 쉬었던 테스의 주가 역시 6.4% 상승하며 반등에 성공했음. 이는 지속 언급하고 있는 것처럼 SK하이닉스의 M15X 및 1c 나노 전환 투자에 대한 기대감 때문으로 추정. 연말/연시에 관련 수주 공시가 나올 것으로 예상되는데</t>
  </si>
  <si>
    <t xml:space="preserve"> 그 이전까지 장비 업체들에 대한 투자전략은 여전히 유효하다고 판단</t>
  </si>
  <si>
    <t>● 전망 및 전략 : 비중확대 전략 유지. 국내 메모리 실적발표</t>
  </si>
  <si>
    <t>글로벌 반도체 서플라이체인들의 실적발표가 지속중. 지난 주에 주목할 만한 코멘트는 Lam Research가 AI 데이터센터 투자액 1</t>
  </si>
  <si>
    <t>000억 달러 당 WFE 지출액이 80억 달러 증가한다고 언급한 부분임. 24년 하반기 이후부터 AI 관련 수혜가 분기를 거듭할 수록 확대 및 다변화되고 있는 것이 다시 한번 확인됨. 보다 구체적인 숫자를 언급하는 업체들이 많아졌음</t>
  </si>
  <si>
    <t>29일에 SK하이닉스</t>
  </si>
  <si>
    <t xml:space="preserve"> 30일에 삼성전자의 실적이 발표될 예정. 3분기 견조한 가격 확인과 4분기 업황 및 분위기에 대해 어떻게 언급할지 기대. 최근 서버발 강한 수요로 인해 메모리 가격의 급상승과 업황의 중장기 가시성이 확보되고 있는 만큼 긍정적인 코멘트를 할 것으로 예상. 실적 발표 이후에 두 업체의 2026년 연간 실적 컨센서스가 큰 폭으로 상향될 것으로 판단</t>
  </si>
  <si>
    <t>11월 1일에 한국 10월 수출액 잠정치가 발표됨. 21일까지의 수출금액은 추석 연휴가 있었음에도 양호한 숫자가 확인되었음. 3분기 중에 메모리 가격 상승폭이 예상보다 강하게 나왔고</t>
  </si>
  <si>
    <t xml:space="preserve"> 4분기 가격도 상향 조정 정황이 포착되고 있는 만큼 10월 월간 수출액도 전년동월 및 전월대비 양호한 데이터가 확인될 것으로 예상</t>
  </si>
  <si>
    <t>● 미국 반도체 기업 업데이트</t>
  </si>
  <si>
    <t>AMD는 8.5% 상승했음. IBM이 AMD의 FPGA 칩에서 양자 오류 수정 알고리즘을 실행할 수 있음을 보여주는 논문을 발표할 것이라고 언급한 후에 주가가 긍정적으로 반응했음</t>
  </si>
  <si>
    <t>Micron도 8% 상승했음. 192GB 크기의 SOCAMM2 고객 샘플링 발표가 긍정적이었음</t>
  </si>
  <si>
    <t>Lam Research는 7% 상승했음. 미국의 Affiliates Rule(계열사 규칙)에도 불구하고</t>
  </si>
  <si>
    <t xml:space="preserve"> AI 수요를 기반으로 긍정적인 가이던스를 제시한 영향</t>
  </si>
  <si>
    <t>● 대만 반도체 기업 업데이트</t>
  </si>
  <si>
    <t>Nanya는 15% 상승했음. 메모리 업황 개선에 힘입어 4분기에도 DDR4 가격 상승을 전망하면서 기대감이 지속중</t>
  </si>
  <si>
    <t>MXIC는 12% 상승했음. NAND 업황 개선 전망에 따라 NAND 업체들 수혜가 지속되는 가운데</t>
  </si>
  <si>
    <t xml:space="preserve"> 닌텐도가 공급업체들에게 내년 1분기까지 최대 2</t>
  </si>
  <si>
    <t>500만대 추가 생산량을 요구했다고 전해짐. MXIC는 닌텐도의 주요 공급업체로 알려져있음</t>
  </si>
  <si>
    <t>Global Unichip은 10% 상승했음. Global Unichip은 Microsoft의 ASIC 밸류체인인데</t>
  </si>
  <si>
    <t xml:space="preserve"> Intel이 Microsoft의 Maia3 수주 소식에 ASIC 기대감이 반응한 것으로 보임</t>
  </si>
  <si>
    <t>■ 한솔케미칼 : 신규 Fab과 아이템 확대 효과는 27년까지 계속 - LS증권</t>
  </si>
  <si>
    <t>● 3분기 실적</t>
  </si>
  <si>
    <t>• 3분기 매출액 2</t>
  </si>
  <si>
    <t>289억원(+20%</t>
  </si>
  <si>
    <t xml:space="preserve"> 이하 YOY)</t>
  </si>
  <si>
    <t xml:space="preserve"> 영업이익 481억원(+30%) 전망</t>
  </si>
  <si>
    <t>• 2분기 대비 계절적 비수기임에도 호실적 양상. 1) QD 고객사의 마케팅 노력에 따른 제품(TV) 판매 확대로 3분기 계절성의 주요 요인인 QD 출하가 감소하지 않았고</t>
  </si>
  <si>
    <t xml:space="preserve"> 2) 반도체 고객사들의 가동률 회복에 따른 매출 증가</t>
  </si>
  <si>
    <t>• 메모리/파운드리 가동률 상승 국면에 진입. 국내 고객사 외 해외 비메모리 고객사향 출하 역시 증가 중이며</t>
  </si>
  <si>
    <t xml:space="preserve"> 특히 2Q25부터 고객사 내 프리커서 점유율 증가에 성공했다는 점에서 26년 매출 성장 탄력이 강하게 나타날 전망</t>
  </si>
  <si>
    <t>• 추가로 준비 중인 주요 High-K 프리커서들의 특허가 2H26에 풀리면서 고객사 내 관련 물량 증대가 27년부터 본격화될 것으로 예상. 장기간의 성장에 대한 단서 지속 포착</t>
  </si>
  <si>
    <t>• 27년까지 삼성전자</t>
  </si>
  <si>
    <t xml:space="preserve"> SK하이닉스의 신규 Fab이 증가하는 Cycle. 이는 소재사 측면에서 자연적인 외형성장이 발생할 수 있는 시기임을 의미. 더불어 신규아이템(프리커서 등)의 확대 역시 기대할 수 있는 만큼</t>
  </si>
  <si>
    <t xml:space="preserve"> 굵직한 성장 구간에</t>
  </si>
  <si>
    <t>진입했다고 판단</t>
  </si>
  <si>
    <t>● 좋아진 업황</t>
  </si>
  <si>
    <t xml:space="preserve"> 계속해서 등장할 모멘텀</t>
  </si>
  <si>
    <t>동사의 최대 강점은 실적 성장을 이어나갈 모멘텀이 풍부하다는 점. 2025년 실현된 성장 동력으로는 (1) High-K 프리커서 신규 공급</t>
  </si>
  <si>
    <t xml:space="preserve"> (2) 이차전지 바인더 신 규 고객사 확보. 2026년은 업황 개선이 가장 눈에 뜨임. 삼성전자 파운드리 가동률 회복</t>
  </si>
  <si>
    <t xml:space="preserve"> DRAM 신규 fab 가동 효과 등 본업 성장이 연중으로 확대될 전망. 이차전지 바인더 신규 고객사 확보를 위한 협의도 진행 중으로 2026년 가시화 시 추가적인 컨센서스 상향이 뒤따를 것으로 예상. 실리콘 음극재 (2H26E)</t>
  </si>
  <si>
    <t xml:space="preserve"> 고체전해질(2028E) 등 장기 성장을 위한 제품 개발도 차질없이 진행중인 상황.</t>
  </si>
  <si>
    <t>● 하반기에도 견조한 실적 흐름 나타낼 전망</t>
  </si>
  <si>
    <t>2025년 매출액과 영업이익은 각각 8</t>
  </si>
  <si>
    <t>520억원(+10% YoY)</t>
  </si>
  <si>
    <t>640억원(+28% YoY)을 기록하면서 전년 동기 대비 뚜렷한 성장세를 나타낼 것으로 예상. 주력 제품인 과산화수소는 SK하이닉스의 M15X 본격 가동을 앞두고 4Q25부터 출하가 시작되면서 하반기에도 안정적인 물량 흐름이 이어질 전망. 프리커서는 하이-K 지르코늄 소재와 실리콘계 제품을 중심으로 매출이 전년 동기 대비 약 40% 증가할 것.</t>
  </si>
  <si>
    <t>고수익성 제품인 이차전지용 바인더는 북미 전기차 시장 수요 둔화와 유럽 내 국내 배터리 셀 업체 점유율 하락으로 기존 고객사인 삼성SDI</t>
  </si>
  <si>
    <t xml:space="preserve"> SK온의 출하는 다소 부진하겠지만 중국 고객사 신규 진입 효과로 매출이 전년 대비 약 21% 증가할 것으로 예상. 또한 국내 1위 배터리 셀 업체로의 공급이 연내 성사될 가능성도 긍정적인 요소로 작용할 수 있음. 반면 QD 소재는 계절적 비수기 영향으로 하반기 매출이 소폭 감소할 것으로 보이며</t>
  </si>
  <si>
    <t xml:space="preserve"> 특수가스도 경쟁사와의 점유율 경쟁 심화로 전년 수준의 매출을 유지할 것으로 전망.</t>
  </si>
  <si>
    <t>● 적정주가 28.5만원으로 상향</t>
  </si>
  <si>
    <t>2027년까지 증익 사이클이 펼쳐질 전망(2024-2027E OP cagr 23%). 동사 주가는 12MF PER 12.8배 수준으로 역사적 평균 (14.5배)을 하회 중. 최근 주가 급등이 부담스러울 수 있으나</t>
  </si>
  <si>
    <t xml:space="preserve"> 조정 시마다 매수가 필요.</t>
  </si>
  <si>
    <t>■ 클래시스 - 제이피모건</t>
  </si>
  <si>
    <t>📌 무슨 일이 있었나요?</t>
  </si>
  <si>
    <t>한국의 의료미용기기 회사인 Classys(클래시스)가 브라질에서 자기네 제품을 팔아주던 유통업체를 아예 사버리기로 했어요! 🎉</t>
  </si>
  <si>
    <t>지금까지는 브라질에 제품을 수출하면 현지 유통업체(MedSystems)가 대신 팔아줬는데</t>
  </si>
  <si>
    <t xml:space="preserve"> 이제는 그 회사를 직접 인수해서 자기가 직접 팔겠다는 거죠.</t>
  </si>
  <si>
    <t>💰 거래 내용</t>
  </si>
  <si>
    <t>인수가액: 690억 BRL (한화 약 180억원)</t>
  </si>
  <si>
    <t>지분율: 77.5% 취득</t>
  </si>
  <si>
    <t>완료시기: 2026년 1분기 예상</t>
  </si>
  <si>
    <t>대상: 브라질 본사 + 콜롬비아</t>
  </si>
  <si>
    <t xml:space="preserve"> 아르헨티나 자회사 포함</t>
  </si>
  <si>
    <t>🏢 MedSystems는 어떤 회사?</t>
  </si>
  <si>
    <t>창립: 2002년 (23년 역사)</t>
  </si>
  <si>
    <t>직원: 220명</t>
  </si>
  <si>
    <t>2024년 매출: 5.1억 BRL (약 1</t>
  </si>
  <si>
    <t>350억원) - Classys 전체 매출의 19%</t>
  </si>
  <si>
    <t>고객: 15</t>
  </si>
  <si>
    <t>000개 이상 병원/클리닉</t>
  </si>
  <si>
    <t>2018년부터 Classys의 독점 유통업체</t>
  </si>
  <si>
    <t>🚀 왜 중요한가?</t>
  </si>
  <si>
    <t>브라질은 세계 4위 의료미용기기 시장 (8억 달러 규모)이고</t>
  </si>
  <si>
    <t xml:space="preserve"> 2030년까지 연 11% 성장이 예상돼요.</t>
  </si>
  <si>
    <t>직접 운영으로 바꾸면:</t>
  </si>
  <si>
    <t>유통 마진을 직접 가져가서 수익성 개선</t>
  </si>
  <si>
    <t>고객을 직접 만나서 빠른 대응</t>
  </si>
  <si>
    <t>신제품을 빨리 출시 가능</t>
  </si>
  <si>
    <t>영업이익률 10% → 20%로 2배 개선 목표</t>
  </si>
  <si>
    <t>📊 실적 전망</t>
  </si>
  <si>
    <t>2026년: 약 700억원 매출 추가</t>
  </si>
  <si>
    <t>이후: 매년 30% 성장 목표</t>
  </si>
  <si>
    <t>2030년 10억 달러 목표의 핵심 전략</t>
  </si>
  <si>
    <t>🎊 시장 반응</t>
  </si>
  <si>
    <t>발표 당일 주가 +12% 급등 (코스피는 +3%)</t>
  </si>
  <si>
    <t>투자자들이 좋아한 이유:</t>
  </si>
  <si>
    <t>브라질 현금 회수 문제 해결</t>
  </si>
  <si>
    <t>실적 개선 기대 (매출↑</t>
  </si>
  <si>
    <t xml:space="preserve"> 이익률↑)</t>
  </si>
  <si>
    <t>성장 스토리 명확해짐</t>
  </si>
  <si>
    <t>📈 투자 의견</t>
  </si>
  <si>
    <t>매수 유지</t>
  </si>
  <si>
    <t>목표주가: 71</t>
  </si>
  <si>
    <t>000원 (현재 52</t>
  </si>
  <si>
    <t>400원 대비 +35%)</t>
  </si>
  <si>
    <t>브라질 리스크 해소되고 실적 상승 여력 커짐""</t>
  </si>
  <si>
    <t>⚠️ 주의할 점</t>
  </si>
  <si>
    <t>국내 시장 부진 가능성</t>
  </si>
  <si>
    <t>인수 통합 과정의 어려움</t>
  </si>
  <si>
    <t>환율 변동 리스크</t>
  </si>
  <si>
    <t>글로벌 경쟁 심화</t>
  </si>
  <si>
    <t>■ [LIG넥스원] 3Q25 프리뷰 : 주가 약세에도 실적은 컨센서스 부합 - 하나증권</t>
  </si>
  <si>
    <t>● 목표주가 562</t>
  </si>
  <si>
    <t>LIG넥스원 목표주가 562</t>
  </si>
  <si>
    <t>000원과 투자의견 매수를 유지한다. 3분기 실적은 시장 컨센서스에 부합할 전망이다. 상반기에 이연된 개발비 등 비용이 3분기와 4분기에 반영되고 4분기에는 내수 수주가 집중되는 계절성을 감안하면 충당금 설정 가능성도 있다. 이러한 점들을 종합하면 연중 영업이익 흐름은 상고하저가 예상된다. 과거와 마찬가지로 이번 하반기 영업이익이 상반기를 상회하기는 어려워 보인다. 다만 전년대비로 보면 매출 규모 증가와 고마진 수출 비중 상승에 힘입어 3</t>
  </si>
  <si>
    <t xml:space="preserve"> 4분기 영업이익은 각각 42%</t>
  </si>
  <si>
    <t xml:space="preserve"> 20% 성장할 전망이다. 2026년에는 수출 매출이 더 가파르게 증가하면서 높은 이익 성장세가 기대된다. 2025년 2분기 기준 수주잔고는 23.5조원으로 약 5.7년치 매출에 해당하는 일감을 보유 중이다. 현재 주가 기준 2025년 PER 32.7배</t>
  </si>
  <si>
    <t xml:space="preserve"> 2026년 PER 27.4배이다.</t>
  </si>
  <si>
    <t>● 3Q25 영업이익 738억원(YoY +42.1%) 컨센서스 부합 전망</t>
  </si>
  <si>
    <t>3분기 매출액은 1.0조원으로 전년대비 35.1% 증가할 전망이다. 지역별로 보면 내수와 수출이 각각 28.1%</t>
  </si>
  <si>
    <t xml:space="preserve"> 62.7% 성장할 것으로 추정한다. 내수는 전년동기 고성장에 따른 높은 기저에도 불구하고 누적 수주잔고의 매출 인식 확대를 가정했다. 수출은 중동을 중심으로 천궁 매출 인식이 확대되며 실적 성장을 주도할 전망이다. 영업이익은 738억원</t>
  </si>
  <si>
    <t xml:space="preserve"> 영업이익률은 7.4%로 각각 전년대비 42.1% 증가</t>
  </si>
  <si>
    <t xml:space="preserve"> 0.4%p 개선될 것으로 예상한다. 매출 규모 확대에 따라 영업이익도 증가할 전망이다. 고마진 수출 규모 역시 전년대비 확대될 것으로 추정한다. 다만 개발비와 인건비 등의 비용 증가로 영업레버리지 효과는 제한적일 것으로 보인다.</t>
  </si>
  <si>
    <t>● 4Q25 영업이익 741억원(YoY +20.1%) 예상</t>
  </si>
  <si>
    <t>4분기 매출액은 1.2조원으로 전년대비 3.3% 증가할 전망이다. 3분기에 이어 중동 매출 인식이 추가 확대되면서 수출은 성장세를 이어나갈 것으로 예상한다. 내수 매출은 통상 4분기에 계절적으로 크게 늘어나는 경향이 있으나 사측의 연간 실적 가이던스를 감안해 전년대비 소폭 감소하는 것으로 가정했다. 이를 종합하면 내수와 수출 매출은 각각 전년대비 3.7% 감소</t>
  </si>
  <si>
    <t xml:space="preserve"> 34.3% 증가할 전망이다. 영업이익은 741억원</t>
  </si>
  <si>
    <t xml:space="preserve"> 영업이익률은 6.2%로 각각 전년대비 20.1% 증가</t>
  </si>
  <si>
    <t xml:space="preserve"> 0.9%p 개선될 것으로 예상한다. 통상 4분기는 국내 신규 수주 계약이 집중되는 시기로 손실충당금이 늘어나는 경향이 있다. 그럼에도 고마진 수출 매출 확대로 전년대비 수익성은 개선될 것으로 추정한다.</t>
  </si>
  <si>
    <t>■ [티에프이 (425420.KQ/매수)] 26년 실리콘 포토닉스 수혜 본격화 기대 - 하나증권</t>
  </si>
  <si>
    <t>● 3Q25 Preview : 실적 상승세 지속</t>
  </si>
  <si>
    <t>25년 3분기 매출 274억원(YoY +59%</t>
  </si>
  <si>
    <t xml:space="preserve"> QoQ +9%)</t>
  </si>
  <si>
    <t xml:space="preserve"> 영업이익 45억원(YoY +1092%</t>
  </si>
  <si>
    <t xml:space="preserve"> QoQ +6%</t>
  </si>
  <si>
    <t xml:space="preserve"> OPM 17%)을 기록할 전망</t>
  </si>
  <si>
    <t>주요 고객사의 메모리 소켓 물량 호조가 지속되고 있으며 다수 고객사의 R&amp;D 수요가 지속 증가하고 있는 것으로 파악. 다만 일부 매출이 4분기로 이연되었으며 원활한 R&amp;D 대응을 위한 인력 확보 및 인프라 구축을 위한 비용 증가로 기존 추정치 대비 매출액과 영업이익은 소폭 하향 조정</t>
  </si>
  <si>
    <t>전방 수요 개선으로 메모리 소켓 물량 증가 추세는 26년까지 지속될 것으로 예상되며 주요 파운드리 고객사향 R&amp;D 물량 확대 또한 중장기 실적에 긍정적으로 작용할 전망</t>
  </si>
  <si>
    <t>● 26년 실리콘 포토닉스 개화 수혜 전망</t>
  </si>
  <si>
    <t>26년 매출 1</t>
  </si>
  <si>
    <t>468억원(YoY +38%)</t>
  </si>
  <si>
    <t xml:space="preserve"> 영업이익 293억원(YoY +72%</t>
  </si>
  <si>
    <t xml:space="preserve"> OPM 20%)을 기록할 전망</t>
  </si>
  <si>
    <t>메모리 업황 회복에 따른 테스트 소켓 수요 증가세가 지속되는 가운데 SOCAMM</t>
  </si>
  <si>
    <t xml:space="preserve"> HBF 등 신규 메모리 아키텍처 및 북미 고객사향 CPO 및 ASIC 테스트 소켓 실적 기여 또한 본격화될 것으로 예상. 이는 기존 메모리 중심의 매출 구조에서 AI 가속기·네트워킹용 소켓 비중 확대에 따른 마진 개선으로 이어질 것으로 기대</t>
  </si>
  <si>
    <t>특히 AI 데이터센터 내 인터커넥트 병목 문제를 해결하기 위한 실리콘 포토닉스 기반 CPO 기술 도입이 가속화되며 직접적인 수혜가 기대. CPO 구조에서는 전기·광학 신호를 동시에 검증해야 하기 때문에 테스트 소켓에 열 관리</t>
  </si>
  <si>
    <t xml:space="preserve"> 광 정렬 기능</t>
  </si>
  <si>
    <t xml:space="preserve"> 초고주파 대응 능력이 요구될 것으로 추정. 티에프이는 현재 북미 고객사향으로 CPO 관련 소켓 샘플을 공급하고 있어 관련 레퍼런스를 보유하고 있다는 점에서 시장 확대 국면에서 ASP 상승 및 신규 고객사 확보 가능성을 기대할 수 있음</t>
  </si>
  <si>
    <t>아울러 신공장은 2026년 상반기 중 본격적인 가동이 시작되며 외형 성장 및 수익성 개선이 가속화 될 전망</t>
  </si>
  <si>
    <t>● 목표주가 6.1만원으로 상향</t>
  </si>
  <si>
    <t>투자의견 BUY를 유지하고 목표주가를 61</t>
  </si>
  <si>
    <t>000원으로 상향. 목표주가는 26년 예상 EPS에 PER 27.2배를 적용해 산출. Target PER은 영업이익률 차이를 감안해 리노공업</t>
  </si>
  <si>
    <t xml:space="preserve"> ISC</t>
  </si>
  <si>
    <t xml:space="preserve"> Winway의 평균에 10% 할인을 적용</t>
  </si>
  <si>
    <t>주요 투자포인트는 [1]북미 고객사향 데이터센터용 대면적 소켓 공급 증가</t>
  </si>
  <si>
    <t xml:space="preserve"> [2]CPO 반도체향 소켓 공급 본격화로 모멘텀 확보</t>
  </si>
  <si>
    <t xml:space="preserve"> [3]26년 상반기 신공장 가동에 따른 중장기 성장 가시성이 확보되었다는 점</t>
  </si>
  <si>
    <t>티에프이는 테스트 소켓 외에도 COK</t>
  </si>
  <si>
    <t xml:space="preserve"> 테스트 보드 등의 아이템을 통해 추가적인 신규 고객사 확보를 진행하고 있어 추가적인 실적 상향 여력도 존재한다는 판단</t>
  </si>
  <si>
    <t>■ 하이브 : 실적과 멀티플의 콜라보 - LS증권</t>
  </si>
  <si>
    <t>● 26년 강한 실적 반등</t>
  </si>
  <si>
    <t>내년 상반기 3년여 간의 공백 끝에 BTS의 컴백이 예정됨에 따라 26년 실적 반등세는 엔터 업종 내 가장 강할 것으로 예상. 공연 사업의 경우 26년 연간 매출액 1조 2</t>
  </si>
  <si>
    <t>728억원(+62.6% YOY) 전망. BTS의 월드 투어는 2분기부터 앙코르를 제외하더라도 공연 수 60회</t>
  </si>
  <si>
    <t xml:space="preserve"> 모객 수 308만 명 이상 추정. MD/라이선싱 역시 IP활용 측면에서 큰 수혜를 받으며 26년 매출액 8</t>
  </si>
  <si>
    <t>908억원(57.2% YOY) 전망. 콘서트 모객 수 증가에 따른 MD 판매 증가 효과와 BTS의 IP를 활용한 높은 단가의 MD 비중 확대가 기여. 콘텐츠 매출액은 전년대비 15.6% YOY 성장한 2</t>
  </si>
  <si>
    <t>976억원 예상. BTS 등 월드 투어를 기반으로 한 2차 콘텐츠 제작 증가</t>
  </si>
  <si>
    <t xml:space="preserve"> 그리고 글로벌 아티스트의 입점 및 높은 MD 성장에 따른 Weverse의 MAU 증가에 기인</t>
  </si>
  <si>
    <t>● 기대되는 저연차 라인업</t>
  </si>
  <si>
    <t>하이브의 저연차 아티스트 라인업은 경쟁사 대비 강력하다고 판단. 엔하이픈은 25년 &lt;WALK THE LINE&gt; 투어를 통해 총 32회 공연</t>
  </si>
  <si>
    <t xml:space="preserve"> 약 93만명의 관객을 확보했을 것으로 추정. 르세라핌 역시 11월까지 이어질 월드 투어를 통해 약 34만명의 관객을 동원할 것으로 예상. 26년에는 북미 아레나 공연 확대 및 회당 모객 수 증가가 기대되는 상황</t>
  </si>
  <si>
    <t>데뷔 2년차에 접어든 북미 현지화 아티스트 캣츠아이의 경우 올해 진행된 북중미 3개국 16회 공연을 모두 매진시켰으며</t>
  </si>
  <si>
    <t xml:space="preserve"> 올해 8월 데뷔한 코르티스의 글로벌 인지도 역시 빠르게 확대 중. HYBE Latin America의 현지화 그룹 MUSZA(9월) 및 산토스 브라보스(10월)가 데뷔하면서 라틴 대중음악 시장 공략. 지역적으로 다변화된 아티스트 포트폴리오의 확대는 중장기적으로 멀티플 리레이팅 요인</t>
  </si>
  <si>
    <t>● 투자의견 Buy</t>
  </si>
  <si>
    <t xml:space="preserve"> 목표주가 39만 원으로 최선호주 제시</t>
  </si>
  <si>
    <t>하이브에 대해 매수 의견 및 목표주가 39만 원으로 최선호주 제시. 최근 낮아진 하반기 실적 전망치가 주가에 반영되어 있으며</t>
  </si>
  <si>
    <t xml:space="preserve"> 내년 실적 반등 모멘텀은 엔터 4사 중 가장 강할 것으로 전망. 동사의 플랫폼 사업의 성과 개선 및 보유 아티스트 라인업을 활용한 중장기적인 글로벌 확장성 고려 시 과거('21~'23년) 대비 프리미엄을 받을 수 있는 상황이라고 판단</t>
  </si>
  <si>
    <t>■ JYP Ent. : 고연차 리스크는 없다 - LS증권</t>
  </si>
  <si>
    <t>● 고연차 리스크는 없다</t>
  </si>
  <si>
    <t>JYP의 경쟁사 대비 차별화된 경쟁력은 고연차 아티스트의 우수한 활동 지표. 활동 8년차에 접어든 스트레이키즈는 &lt;dominATE&gt; 월드 투어(24.08 ~ 25.10)를 통해 총 57회 공연</t>
  </si>
  <si>
    <t xml:space="preserve"> 약 225만 명 모객에 성공했으며</t>
  </si>
  <si>
    <t xml:space="preserve"> 올해 데뷔 10주년을 맞은 트와이스의 경우 3분기 시작된 &lt;This Is For&gt; 월드 투어(25.07 ~ 26.06) 기간동안 19개국</t>
  </si>
  <si>
    <t xml:space="preserve"> 55회의 공연이 예정되어 있으며 약 130만 명의 관객을 확보할 것으로 예상. DAY6 또한 올해 3분기 밴드 그룹에서는 이례적으로 고양 종합운동장에서 3회 공연을 진행.</t>
  </si>
  <si>
    <t>이들은 재계약 이후에도 공연 레버리지 확대</t>
  </si>
  <si>
    <t xml:space="preserve"> MD와 광고 등 IP 활용의 다변화를 통해 여전히 동사의 메인 수익원으로 자리잡은 모습. 이는 향후 ITZY 등 고연차에 접어들 아티스트의 활용 방향성에 대해 중요한 선례가 될 전망</t>
  </si>
  <si>
    <t>● 서구권 영향력 확대</t>
  </si>
  <si>
    <t>고연차 아티스트의 높은 인지도를 바탕으로 동사의 서구권 영향력 확대 중. 스트레이 키즈와 트와이스</t>
  </si>
  <si>
    <t xml:space="preserve"> DAY6의 북미</t>
  </si>
  <si>
    <t xml:space="preserve"> 유럽 투어가 성공적으로 진행되었으며</t>
  </si>
  <si>
    <t xml:space="preserve"> 중남미까지 커버리지 확대. '케데헌' 음원 참여 효과로 트와이스의 서구권 모객력 강화. 현지화 아티스트의 향후 성과는 멀티플 리레이팅의 요인이 될 것. 북미 현지 걸그룹 GIRLSET이 재정비를 마치고 지난 8.29 컴백. 26년 현지 법인을 통해 중남미 지역까지 현지화 그룹 확대 전망.</t>
  </si>
  <si>
    <t>저연차 아티스트의 글로벌 영향력 확대는 향후 주목해야 할 포인트. 내년 첫 월드투어가 예상되는 엔믹스의 성과가 상반기 주가 모멘텀에 중요한 요소가 될 것. 최근 발매한 정규 1집 &lt;Blue Valentine&gt;이 호평을 받으며 내년 투어에 긍정적으로 작용할 전망</t>
  </si>
  <si>
    <t>● 투자 의견 Buy</t>
  </si>
  <si>
    <t xml:space="preserve"> 목표주가 97</t>
  </si>
  <si>
    <t>000원 제시</t>
  </si>
  <si>
    <t>JYP Ent.에 대해 매수 의견</t>
  </si>
  <si>
    <t xml:space="preserve"> 목표 주가 97</t>
  </si>
  <si>
    <t>000원 제시. MD 및 IP 라이선싱 사업의 성장과 스트레이 키즈</t>
  </si>
  <si>
    <t xml:space="preserve"> 트와이스라는 슈퍼 IP의 안정적인 이익 창출력을 감안함. 엔믹스 등 저연차 아티스트 및 현지화 아이돌의 성과에 따라 업종 내 밸류에이션 디스카운트는 점차 해소될 전망</t>
  </si>
  <si>
    <t>■ 와이지엔터테인먼트 : 풍부한 실적 모멘텀 - LS증권</t>
  </si>
  <si>
    <t>● 소문난 잔치에 먹을 것도 많을 26년</t>
  </si>
  <si>
    <t>YG의 높은 실적 모멘텀은 내년에도 이어질 전망. 현재까지 공개된 블랙핑크의 &lt;DEADLINE&gt; 월드 투어(25/07 ~ 26/01)는 33회</t>
  </si>
  <si>
    <t xml:space="preserve"> 모객 수 200만 명 이상일 것으로 예상. 향후 추가 공연의 규모는 공개되지 않았지만</t>
  </si>
  <si>
    <t xml:space="preserve"> 콘서트 1회당 6만 명이상의 모객이 가능할 것으로 보이며</t>
  </si>
  <si>
    <t xml:space="preserve"> 높은 ATP 덕에 내년 상반기까지 마진에도 긍정적으로 작용할 것.</t>
  </si>
  <si>
    <t>26년은 블랙핑크의 데뷔 10주년(8/8)</t>
  </si>
  <si>
    <t xml:space="preserve"> 빅뱅의 데뷔 20주년(5/20)의 해. 이를 기념하여 음반 발매</t>
  </si>
  <si>
    <t xml:space="preserve"> 단독 콘서트 등 다양한 활동이 기대되는 상황. 빅뱅의 코첼라 공연이 내년 2분기 예정임을 고려했을 때</t>
  </si>
  <si>
    <t xml:space="preserve"> 하반기에는 블랙핑크와 빅뱅이 이익 성장을 견인할 전망</t>
  </si>
  <si>
    <t>● 적지만 강한 라인업</t>
  </si>
  <si>
    <t>최근 조기 재계약을 발표한 트레저와 데뷔 2년차에 접어든 베이비몬스터의 높은 성과에 주목. 베이비몬스터는 올해 첫번째 월드 투어를 아레나 규모에서 33회 진행했으며</t>
  </si>
  <si>
    <t xml:space="preserve"> 최근 10/10 공개된 미니 2집 &lt;WE GO UP&gt;의 경우 초동 판매량 55만장을 기록하여 직전 미니 1집의 성과를 초과 달성. 트레저는 현재까지 공개된 월드 투어 &lt;PULSE ON&gt; 25회 공연에서만 40만 명 이상 모객이 가능할 것으로 예상. 경쟁사 대비 라인업은 적지만 이는 곧 높은 비용 효율을 통한 수익성 개선이 용이하다는 것임을 의미.</t>
  </si>
  <si>
    <t>베이비몬스터가 성장할수록 동사의 MD 사업의 실적 기여 또한 확대될 전망. 베이비몬스터는 지난 2분기 아시아 투어 일정에 맞춰 일본과 대만</t>
  </si>
  <si>
    <t xml:space="preserve"> 홍콩 등지에서 팝업스토어를 운영하는 등 MD 수익원을 다변화하는 모습을 보여줌</t>
  </si>
  <si>
    <t xml:space="preserve"> 목표주가 12만 원 제시</t>
  </si>
  <si>
    <t>와이지엔터테인먼트에 대해 매수 의견</t>
  </si>
  <si>
    <t xml:space="preserve"> 목표주가 12만 원 제시. 메가 IP의 활발한 활동에 따른 고수익 지속과 저연차 아티스트의 고무적인 성과</t>
  </si>
  <si>
    <t xml:space="preserve"> 그리고 MD의 고성장이라는 3가지 실적 모멘텀이 동시에 작용할 26년</t>
  </si>
  <si>
    <t>■ 에스엠 : 코어 팬덤 집중 공략 - LS증권</t>
  </si>
  <si>
    <t>● MD와 IP가 책임질 26년</t>
  </si>
  <si>
    <t>26년 에스엠의 매출 성장은 MD와 자체 IP 활용</t>
  </si>
  <si>
    <t xml:space="preserve"> 콘텐츠 등 2차 사업이 견인하게 될 전망. 동사는 24년 하반기부터 MD 사업에 강한 드라이브를 걸어왔으며</t>
  </si>
  <si>
    <t xml:space="preserve"> 현재 캐릭터 콜라보 MD</t>
  </si>
  <si>
    <t xml:space="preserve"> 팝업스토어를 통한 MD 수익원 다변화에 집중. 올해 2분기 엔시티 드림의 팝업스토어가 열렸으며</t>
  </si>
  <si>
    <t xml:space="preserve"> 3분기에는 에스파의 팝업스토어를 통해 22종의 MD가 판매됨. 연말에는 각 아티스트별로 시즌그리팅 상품</t>
  </si>
  <si>
    <t xml:space="preserve"> 크리스마스 한정판 굿즈 발매를 통한 수익 확대. 경쟁사 대비 코어 팬층이 두터운 점은 MD 사업 의 빠른 성장에 기여</t>
  </si>
  <si>
    <t>공연 MD의 경우 향후 직접 판매 확대를 통한 판매량 및 수익성 개선 목표. 수요측정과 재고 관리 측면에서 긍정적 효과 기대. 26년 국내 공연 MD의 수익성에 따라 향후 해외 공연으로의 확대가 가시화될 전망</t>
  </si>
  <si>
    <t>● 중국에 진심</t>
  </si>
  <si>
    <t>에스엠은 블루오션인 중국 시장에 대해 가장 적극적인 행보를 보였음. 향후 중국향 MD 판매 및 IP 콜라보 확대가 예상되며</t>
  </si>
  <si>
    <t xml:space="preserve"> 중장기적으로 중국 내 현지 IP 제작 성과도 기대해볼 수 있음. 중국의 Tencent Music Entertainnt(TME)는 지난해말 디어유의 버블 서비스를 자사 스트리밍 플랫폼 QQ 뮤직에 탑재했으며</t>
  </si>
  <si>
    <t xml:space="preserve"> 현재 국내 및 중국의 일부 아티스트 입점 완료. QQ 뮤직의 MAU는 5억 명 이상이며</t>
  </si>
  <si>
    <t xml:space="preserve"> 인앱 형태로 이커머스 플랫폼을 제공하고 있기 때문에 향후 MD 판매 관련 협업 확대가 기대되는 상황. 장기적으로 중국 내 현지 매니지먼트와 협력하여 현지화 IP 제작 가능성도 높다고 판단. 2차 사업 + 현지화를 기반으로 한한령 등 중국 내 사업 변동성 리스크에서 점차 탈피할 수 있을 것</t>
  </si>
  <si>
    <t xml:space="preserve"> 목표주가 15만원 제시</t>
  </si>
  <si>
    <t>에스엠에 대해 매수 의견</t>
  </si>
  <si>
    <t xml:space="preserve"> 목표주가 15만원 제시. MD/IP 부문의 높은 성장성 고려했을 때 경쟁사 대비 밸류에이션은 저평가 상태. 향후 코어 팬덤 중심의 아시아 시장 영향력 확대에 따른 밸류에이션 프리미엄 및 멀티플 상향 조정 가능성</t>
  </si>
  <si>
    <t>■ 한미약품 : 연말은 한미약품의 시기다 - 한양증권</t>
  </si>
  <si>
    <t>● 4분기부터 주요 이벤트 몰려 있다. 계열 내 최선호주다.</t>
  </si>
  <si>
    <t>한미약품을 사야 할 때가 왔다. '23~'24년 제대로 된 R&amp;D 이벤트가 없던 한미약품이 올해 4분기부터 핵심 임상시험 결과들을 발표한다. 가장 중요한 약물은 '20년 머크에 기술이전한 MASH 치료제 'Efinopegdutide'다. 머크는 'Efinopegdutide'(머크 파이프라인명 'MK-6024')로 대규모 임상 2b상을 진행하고 있다. 현재 환자 모집은 끝난 상황이며</t>
  </si>
  <si>
    <t xml:space="preserve"> 올해 12월 임상시험 종료가 예정되어 있다. 따라서 12월 이후 결과가 공개될 예정이다. 총 360명을 3개 군('MK-6024'군</t>
  </si>
  <si>
    <t xml:space="preserve"> 'Semaglutide'군</t>
  </si>
  <si>
    <t xml:space="preserve"> 위약군)으로 나누어 비교하는 임상시험이다. 1차 지표는 52주차에 '섬유증 악화 없이 MASH가 해소된 참가자 비율'이다. 대조군인 '위고비' 및 위약보다 얼마나 우수할지가 관건이다. 참고로 올해 8월 FDA로부터 MASH 치료제로 허가 받은 'Semaglutide(위고비)'는 임상 3상에서 72주차에 '섬유증 악화 없이 MASH가 해소된 참가자 비율'이 62.9%였다. 머크는 'MK-6024'를 가지고 MASH 분야에서 best-in-class약물을 만들겠다는 자신감을 보이고 있다. 발표까지 2~3개월 남았다. 기대감이 점점 붙을 시기다.</t>
  </si>
  <si>
    <t>● 비만 다음 테마는 MASH다. 국산 비만 치료제 3상 결과도 나온다.</t>
  </si>
  <si>
    <t>MASH는 약 5억 명의 환자가 존재하는 제약/바이오의 대표적인 블루오션이다. MASH 환자의 약 20%가 간경변으로 발전하며</t>
  </si>
  <si>
    <t xml:space="preserve"> 간경변은 간암의 직전단계이기 때문에 MASH 단계에서의 약물 치료 니즈가 매우 크다. 작년 허가 받은 최초의 MASH 치료제 'Rezdiffra'의 올해 2분기 매출액은 $212.8M(약 3천억 원)으로 급성장 중이다. 올해 8월에는 세계 두번째로 'Semaglutide'가 FDA허가를 받았다. MASH 치료제는 이제 개화 단계이며</t>
  </si>
  <si>
    <t xml:space="preserve"> 비만 다음으로 제약/바이오 업종에 중요한 테마가 될 가능성이 있다. 한미약품이 국내 MASH 대장주가 될 가능성이 높겠다.</t>
  </si>
  <si>
    <t>또한 올해 9월 동사의 한국형 GLP-1 비만약 '에페글레나타이드'의 임상 3상이 종료됐다. 따라서 4분기 내에 탑라인 데이터 발표가 있을 전망이다. 뿐만 아니라 글로벌 Best in class 비만약을 노리는 'HM15275'는 9월 FDA 임상2상 IND를 신청했기 때문에 곧 IND 승인이 나올 예정이다. 밸류에이션 역사상 최저점 수준. 단숨에 회복될 가능성 높다.</t>
  </si>
  <si>
    <t>동사 주가는 '25년 컨센서스 기준 PER 27.6배 수준에 거래되고 있다. 최근 주가가 조금 상승했으나</t>
  </si>
  <si>
    <t xml:space="preserve"> 여전히 역사상 최저점 수준이다(도표2). '25년 컨센기준 EV/EBITDA는 13.6배 수준인데</t>
  </si>
  <si>
    <t xml:space="preserve"> 이는 녹십자나 동아에스티보다 낮은 수치다(도표4). 한미약품은 전통적으로 경쟁 제약사들 대비 밸류에이션이 매우 높았던 기업이다. 앞으로 있을 거대 R&amp;D 이벤트와 함께 밸류에이션은 단숨에 회복될 가능성이 높다. 우리는 한미약품에 대해 투자의견 '매수' 및 목표주가 520</t>
  </si>
  <si>
    <t>000원을 제시한다. 2026년 EPS에 PER 40배를 적용한 수치다.</t>
  </si>
  <si>
    <t>첨부파일</t>
  </si>
  <si>
    <t>글로벌＿소프트웨어＿빅테크＿클라우드＿인프라＿기업＿3Q25＿실적의＿향＿삼성증권＿251027.pdf</t>
  </si>
  <si>
    <t>파일 다운로드</t>
  </si>
  <si>
    <t>10월＿FOMC＿Preview＿파월＿9월＿dot＿plot＿궤적이＿기본＿시나리오임＿삼성증권＿251027.pdf</t>
  </si>
  <si>
    <t>LG에너지솔루션＿＿27년＿ES＿미래에셋대우＿251027.pdf</t>
  </si>
  <si>
    <t>월간전망＿202511＿Global＿Equity＿Insights＿11월＿주식시장의＿삼성증권＿251027.pdf</t>
  </si>
  <si>
    <t>Legacy＿반도체도＿안보＿자산＿삼성증권＿251027.pdf</t>
  </si>
  <si>
    <t>1.+한화오션＿3Q25+실적발표+PPT＿251027.pdf</t>
  </si>
  <si>
    <t>유니드 2025년+3분기+실적발표.pdf</t>
  </si>
  <si>
    <t>251027＿반도체 및 소부장 Weekly.pdf</t>
  </si>
  <si>
    <t>251027＿지주업.pdf</t>
  </si>
  <si>
    <t>251027＿SK이노베이션.pdf</t>
  </si>
  <si>
    <t>251027＿롯데정밀화학.pdf</t>
  </si>
  <si>
    <t>251027＿냉각의 미학</t>
  </si>
  <si>
    <t xml:space="preserve"> 보냉재가 뜨겁다.pdf</t>
  </si>
  <si>
    <t>251027＿시프트업.pdf</t>
  </si>
  <si>
    <t>251027＿펄어비스.pdf</t>
  </si>
  <si>
    <t>251027＿대덕전자.pdf</t>
  </si>
  <si>
    <t>2025년＿10월＿27일＿화수분전략＿2026년＿전망2＿주도업종과＿주도주는＿누구일까.pdf</t>
  </si>
  <si>
    <t>251027＿엔터UP！ 실적X멀티플의 콜라보.pdf</t>
  </si>
  <si>
    <t>251027＿3분기 실적발표 스케줄.pdf</t>
  </si>
  <si>
    <t>251027＿동운아나텍.pdf</t>
  </si>
  <si>
    <t>파일 다운로드"</t>
  </si>
  <si>
    <t>https://postfiles.pstatic.net/MjAyNTEwMjdfOTYg/MDAxNzYxNTUyMTA4Mjg4.lbiUAtiLo3H9zRZfHZBB0SwkjUeCmnEDeyqoI0aMfZMg.OTjyfip5gQJI3lxDPoNSRX8hA42FPoK-vIfUGDi9-LIg.PNG/900%EF%BC%BFBandPhoto%EF%BC%BF2025%EF%BC%BF10%EF%BC%BF27%EF%BC%BF16%EF%BC%BF44%EF%BC%BF26%EF%BC%BF2.png?type=w80_blur|||https://postfiles.pstatic.net/MjAyNTEwMjdfNyAg/MDAxNzYxNTUyMTIwNzA2.KE2uKg5XXMVEaAC2944RdEd0KKLmzAJlNHHOrxGpHBQg.EgJHAI4sYHZ7G0yxgRal6zILwK7M4BRSXX8OEpJ8-xQg.PNG/900%EF%BC%BFBandPhoto%EF%BC%BF2025%EF%BC%BF10%EF%BC%BF27%EF%BC%BF16%EF%BC%BF44%EF%BC%BF26%EF%BC%BF1.png?type=w80_blur|||https://postfiles.pstatic.net/MjAyNTEwMjdfMjA5/MDAxNzYxNTUyMDg2ODg1.4Qp9IG3zsH8Al4r1U2hTZrn-V5gvrBA1Uq8JZ0hJ--Qg.H48Mz--k-xfEK9DI3__Rq4QZ9NkXaVXpJ1HkeizI6SEg.PNG/900%EF%BC%BFBandPhoto%EF%BC%BF2025%EF%BC%BF10%EF%BC%BF27%EF%BC%BF16%EF%BC%BF44%EF%BC%BF26%EF%BC%BF6.png?type=w80_blur|||https://postfiles.pstatic.net/MjAyNTEwMjdfNjQg/MDAxNzYxNTUyMDgzNDMy.AioxuomafW5bY0_BYFx8UPAB6yP8neil8cQ2Uo99ynQg.LAGA3f8_sePWfCJOBnnTG-FFj2j8Knnzw95imLvK3dcg.PNG/900%EF%BC%BFBandPhoto%EF%BC%BF2025%EF%BC%BF10%EF%BC%BF27%EF%BC%BF16%EF%BC%BF44%EF%BC%BF26%EF%BC%BF5.png?type=w80_blur|||https://postfiles.pstatic.net/MjAyNTEwMjdfMjE0/MDAxNzYxNTUyMTA5OTE4.AuuP1fqJ9Mug3zpixYm-zY916By9N-naA9F_R4mNVzYg.9UMN8lrR2HADIcIHYWldZWsh-Da0eUJNL7IKd6zjIiAg.PNG/900%EF%BC%BFBandPhoto%EF%BC%BF2025%EF%BC%BF10%EF%BC%BF27%EF%BC%BF16%EF%BC%BF44%EF%BC%BF26%EF%BC%BF4.png?type=w80_blur|||https://postfiles.pstatic.net/MjAyNTEwMjdfODAg/MDAxNzYxNTUyMTIyNDgx.7H2xuANNVu0te1lLY_rAYl_oUmneEY9XbiNrIOMKgDMg.i_XzexLcMGCIBYTCX5dLZv4_r60dMVJospZpgLEuBNkg.PNG/900%EF%BC%BFBandPhoto%EF%BC%BF2025%EF%BC%BF10%EF%BC%BF27%EF%BC%BF16%EF%BC%BF44%EF%BC%BF26%EF%BC%BF3.png?type=w80_blur|||https://postfiles.pstatic.net/MjAyNTEwMjdfMjg0/MDAxNzYxNTUyMDY1MzI0.ltE3FmQhGOdwRRb2RXUjncFwWbCmp9ftafolfSWVo-sg.TwICycAVKAxRHo0wIaw79VTTLHsaktFg_RG8K6gob10g.JPEG/BandPhoto%EF%BC%BF2025%EF%BC%BF10%EF%BC%BF27%EF%BC%BF16%EF%BC%BF45%EF%BC%BF54.jpg?type=w80_blur|||https://postfiles.pstatic.net/MjAyNTEwMjdfMjky/MDAxNzYxNTUyMDgwMzk4.txXhvNWzCt92RZkAIbhZpXkaRRVaAIvWn82KiJOK1Rcg.tTHrcNv-h1JOA9xJtHCHsbmAWcSgMf-HD4y-mg-6pf4g.PNG/900%EF%BC%BFBandPhoto%EF%BC%BF2025%EF%BC%BF10%EF%BC%BF27%EF%BC%BF16%EF%BC%BF45%EF%BC%BF56.png?type=w80_blur|||https://postfiles.pstatic.net/MjAyNTEwMjdfOCAg/MDAxNzYxNTUyMDg5OTYx.JMf1XOTfpI5wMLWJGkNi38WAwP-QXOvf887fyNaFPFQg.htfKJ7jkH60WSgItgHq2VTqA7etrq3SofleKRXuKFKQg.JPEG/900%EF%BC%BFBandPhoto%EF%BC%BF2025%EF%BC%BF10%EF%BC%BF27%EF%BC%BF16%EF%BC%BF57%EF%BC%BF10.jpg?type=w80_blur|||https://postfiles.pstatic.net/MjAyNTEwMjdfOTQg/MDAxNzYxNTUyMDU3NTU4.HRzDmWyW8bmkKtNXCPs3owUScAbi1lKCwSrglLQgbUMg.qY48o_fddK8BvDtSxOP9iByizDe7pzXXH_RbASHAdMYg.JPEG/900%EF%BC%BFBandPhoto%EF%BC%BF2025%EF%BC%BF10%EF%BC%BF27%EF%BC%BF16%EF%BC%BF56%EF%BC%BF47.jpg?type=w80_blur|||https://postfiles.pstatic.net/MjAyNTEwMjdfMTY2/MDAxNzYxNTUyMDk1MDI1.FYOVDqdK5S9AfA2xkL4rkIYFWRfg2_s36CvPt1pvgJcg.M5yAvMIUSblatR4D9P7-vAGJv9HnQuUwi5B12gEsurEg.JPEG/900%EF%BC%BFIMG%EF%BC%BF20251027%EF%BC%BF154859%EF%BC%BF399.jpg?type=w80_blur|||https://postfiles.pstatic.net/MjAyNTEwMjdfMTcx/MDAxNzYxNTUyMTAxNTU5.e_0AgYmJ29465TY2sYhGaeVSzPoF9nJWT1rJSni0OSAg.PrLB-Zen_C5r7oSuYcCfpCK0zmwEZuaf9Jcwgm4RpCkg.JPEG/900%EF%BC%BFIMG%EF%BC%BF20251027%EF%BC%BF154851%EF%BC%BF427.jpg?type=w80_blur|||https://postfiles.pstatic.net/MjAyNTEwMjdfMjk2/MDAxNzYxNTUyMDgxMzQz.GCiPtdZ41W-3ibrz7BLo75ATSIRvqVE2HGvONZByxKQg.ElNfoE13dRvZAWJzccTjJdGmPKPD_o3AJkJ3E_7-lV0g.JPEG/900%EF%BC%BFIMG%EF%BC%BF20251027%EF%BC%BF154839%EF%BC%BF905.jpg?type=w80_blur|||https://postfiles.pstatic.net/MjAyNTEwMjdfMjQ0/MDAxNzYxNTUyMTA3ODcx.U-YhgoqhQWyxmJjyAkpYVRCUSnm5AGBD9DqPX45Ij1Ug.O08Bi6g33GadlPdBvIy9oosv9KFgS4Zkwno0UdwTRfwg.JPEG/900%EF%BC%BFIMG%EF%BC%BF20251027%EF%BC%BF154831%EF%BC%BF128.jpg?type=w80_blur|||https://postfiles.pstatic.net/MjAyNTEwMjdfMjU5/MDAxNzYxNTUyMDc2MTgz.IATyu6o2Yd-DVp485i__l1OF2BOHXMSLeJ6DZvZFlWYg.8JRfYK5vfmkFwSZ4FnC3rnmKisHe2hq693xrBiaQ2Tkg.JPEG/900%EF%BC%BFIMG%EF%BC%BF20251027%EF%BC%BF151535%EF%BC%BF345.jpg?type=w80_blur|||https://postfiles.pstatic.net/MjAyNTEwMjdfMTQ4/MDAxNzYxNTUyMDgzNzA2.gr6Z5_hcUxNRTeeCgKW1yxoVT4b72amgLNudzBZnY_Mg.eups86Hj7iWkFWW66xf0bHr5qNZmzmUZMOx6EY3YTtMg.JPEG/900%EF%BC%BFIMG%EF%BC%BF20251027%EF%BC%BF145831%EF%BC%BF527.jpg?type=w80_blur|||https://postfiles.pstatic.net/MjAyNTEwMjdfMTk3/MDAxNzYxNTUyMDY5OTUy._6Xjw9e4zG0yD5u8At_HCHXckhg5BdMEdYowRZCvctQg.waiBeuo7-TGsXw62pTiLfSQS_KwNNQvZQWPuMUVAYPQg.JPEG/900%EF%BC%BFIMG%EF%BC%BF20251027%EF%BC%BF145824%EF%BC%BF552.jpg?type=w80_blur|||https://postfiles.pstatic.net/MjAyNTEwMjdfNDEg/MDAxNzYxNTUyMDkwMDc0.fU1e335MZ5J0QZDXVIFjRVgGAqCaUMWLFJQMRr75Bi4g.n8BnrK-J9vOiFvxJLg6tyPHV34Sebu8XJBihnyxi4NIg.JPEG/900%EF%BC%BFIMG%EF%BC%BF20251027%EF%BC%BF145819%EF%BC%BF081.jpg?type=w80_blur|||https://postfiles.pstatic.net/MjAyNTEwMjdfNTIg/MDAxNzYxNTUyMDY1MzI3.viw94O7_Rt7lC7LB3KsEnYzbwxqjo7OpP_p36BZa0aog.F_foilLPoVK4aY65CjRSC-NmbsMS_kTtGpDIpXlSSOAg.JPEG/900%EF%BC%BFIMG%EF%BC%BF20251027%EF%BC%BF145815%EF%BC%BF754.jpg?type=w80_blur|||https://postfiles.pstatic.net/MjAyNTEwMjdfMjg1/MDAxNzYxNTUyMTIyNjcz.kl3fmoBdPVyBpDD8jFqlqhP6o5y9EntVX3J1OWYpd-kg.5O0uBqosXEe-Fn2txCAv9QKRJH9K_ef_1_1WD7b8v1Mg.JPEG/900%EF%BC%BFIMG%EF%BC%BF20251027%EF%BC%BF145808%EF%BC%BF831.jpg?type=w80_blur|||https://postfiles.pstatic.net/MjAyNTEwMjdfMzMg/MDAxNzYxNTUyMDgwNDA3.UGtlfCIVe1wEAAkht8OG4PgY_fU_YGzv0flV3HKMNI4g.W_dWC_j5-X0CAJteWRdFYLeJbFA8mEAvhaMEb2NO0okg.JPEG/900%EF%BC%BFIMG%EF%BC%BF20251027%EF%BC%BF145802%EF%BC%BF372.jpg?type=w80_blur|||https://postfiles.pstatic.net/MjAyNTEwMjdfNDUg/MDAxNzYxNTUyMDg1OTg3.bUkIBWQX3AJP8_C6D5HsVBgCJNY1n4SZjsS25NZdAzog.sVqbK1TDUY7a4mrX443KAQxCco7cDF9aRu1eFq7W-TEg.JPEG/900%EF%BC%BFIMG%EF%BC%BF20251027%EF%BC%BF145757%EF%BC%BF422.jpg?type=w80_blur|||https://postfiles.pstatic.net/MjAyNTEwMjdfMjU4/MDAxNzYxNTUyMDYzMTIw.kNnEq91Ga1thhYkbjpPCZYjhswxON6-s-uyHskqAyGIg.7jRZYjfVJCUgjsszT0GrvagDFUsAQKf3iqj-DYM98l0g.JPEG/900%EF%BC%BFIMG%EF%BC%BF20251027%EF%BC%BF145757%EF%BC%BF019.jpg?type=w80_blur|||https://postfiles.pstatic.net/MjAyNTEwMjdfOSAg/MDAxNzYxNTUyMDUwMTM1.V-JadaFvraikroy-cJOzXTXvsA4sM3iImhj4JB4SsBkg.mRw8mEpJP-OfvnU1dsdsaGyJqISb-CIssHlknl7Xt1Eg.JPEG/900%EF%BC%BFIMG%EF%BC%BF20251027%EF%BC%BF145757%EF%BC%BF158.jpg?type=w80_blur|||https://postfiles.pstatic.net/MjAyNTEwMjdfMTkg/MDAxNzYxNTUyMDg4MjM5.jj-0_fV8wyTjyESk0AXI5Wuh4cwCAp4WMBOuM3yMmlIg.ryARsx4SPSfO7NtYq4KKUBRpDJQ7izyjEr25MzCgAnUg.JPEG/900%EF%BC%BFIMG%EF%BC%BF20251027%EF%BC%BF145747%EF%BC%BF972.jpg?type=w80_blur|||https://postfiles.pstatic.net/MjAyNTEwMjdfMTE5/MDAxNzYxNTUyMDY2NTMy.X8nE8tJMK7O0zY4d2oBWyNaZb784kQhOz9xP6e7BNrQg.JiTTHk87WuiAWkBnKtnyX4iYu9LhIq29ORe1yktNBqgg.JPEG/900%EF%BC%BFIMG%EF%BC%BF20251027%EF%BC%BF145736%EF%BC%BF531.jpg?type=w80_blur|||https://postfiles.pstatic.net/MjAyNTEwMjdfOTgg/MDAxNzYxNTUyMDY0ODAw.kmrvrbYAaSPhCp8y8iLbScbV1TGVCy4S5ukhiUak_tEg.OonmvUyJRe7z_aItILYrp4lo2lBuR4Oh4jhgcPaiCO0g.JPEG/900%EF%BC%BFIMG%EF%BC%BF20251027%EF%BC%BF145731%EF%BC%BF169.jpg?type=w80_blur|||https://postfiles.pstatic.net/MjAyNTEwMjdfODIg/MDAxNzYxNTUyMDc4OTc3.5_G7bulKHUX55ceHiV6UP9sZIjh97fFVYJMc0M0hgg8g.r1ta7Gr7pTQQ1ZmtY0tBcU-gEfebAIt9dgschiM6sncg.JPEG/900%EF%BC%BFIMG%EF%BC%BF20251027%EF%BC%BF145725%EF%BC%BF125.jpg?type=w80_blur|||https://postfiles.pstatic.net/MjAyNTEwMjdfMjc5/MDAxNzYxNTUyMDY4MzM4.AccbnXduzIdWashl4_VqUOSorvluhOiw2NjN9QKQv4Qg.NlPr_to-smHjbsZcwm3JNDr0nsFs6rV_8mEpjBoCkUcg.JPEG/900%EF%BC%BFIMG%EF%BC%BF20251027%EF%BC%BF145725%EF%BC%BF383.jpg?type=w80_blur|||https://postfiles.pstatic.net/MjAyNTEwMjdfMjU4/MDAxNzYxNTUyMDczMTAx.OhQD2IBWx80ZRn_YdQFPXeU5NCuCQQ9fF_hadbQ3sm0g._dqZ5sQiLDZSIyAsDZ3hY6cxC2JQzCZd8YPZc52f0Kgg.JPEG/900%EF%BC%BFIMG%EF%BC%BF20251027%EF%BC%BF145724%EF%BC%BF860.jpg?type=w80_blur|||https://postfiles.pstatic.net/MjAyNTEwMjdfMjMg/MDAxNzYxNTUyMDY5NTM0.3n-keaVbLfILb_3UcyvbQzt1xYJKmPwg83tLPO6p6dEg.hJp6e30NNL6yy3K6OGA3MHZJGrxqcvrHP23w6niLYkEg.JPEG/900%EF%BC%BFIMG%EF%BC%BF20251027%EF%BC%BF145717%EF%BC%BF314.jpg?type=w80_blur|||https://postfiles.pstatic.net/MjAyNTEwMjdfNjQg/MDAxNzYxNTUyMDg2ODAx.AYjT5g5a8Pz3sH5iONZbBfFzM0H5_Sbp21iu19JgJs8g.clscvCbKMfvZpJswjeuOQRCuCvbW2q6f3AWH6jGLIukg.JPEG/900%EF%BC%BFIMG%EF%BC%BF20251027%EF%BC%BF145712%EF%BC%BF462.jpg?type=w80_blur|||https://postfiles.pstatic.net/MjAyNTEwMjdfMTkg/MDAxNzYxNTUyMTAxNjg5.TWjvWW_Larh-x1dj60MmiEvvz41fDMvXZgG_WIea6Dwg.pfu0UWRnw4R_Y0VEy9rFRfOIDW7Dg-PkFNONHcD1_cMg.JPEG/900%EF%BC%BFIMG%EF%BC%BF20251027%EF%BC%BF145707%EF%BC%BF321.jpg?type=w80_blur|||https://postfiles.pstatic.net/MjAyNTEwMjdfMjMx/MDAxNzYxNTUyMDYzNDI2.W1os7J9gUYad-bXWMbGcQ_RXtM5N9m2yTrt9wEy5xmcg.I2W1rD1OcpNjoKFNuQNXRX5jo9NL9FR9RD_l5dT23PEg.JPEG/900%EF%BC%BFIMG%EF%BC%BF20251027%EF%BC%BF145653%EF%BC%BF470.jpg?type=w80_blur|||https://postfiles.pstatic.net/MjAyNTEwMjdfNDEg/MDAxNzYxNTUyMTIxOTcx.oCsEj8PsNDzm6tycgoto2SiklZzgPMm3lrTKFYs-piIg.V6UAofnDoXDsmd4urACVod4jm32HcEwfG_q8FgFH_VAg.JPEG/900%EF%BC%BFIMG%EF%BC%BF20251027%EF%BC%BF145643%EF%BC%BF463.jpg?type=w80_blur|||https://postfiles.pstatic.net/MjAyNTEwMjdfODQg/MDAxNzYxNTUyMDg0NjA4.7uRDdt4uWiZjD41hnTHL9trtRun2DWpYk53qb9yP1xkg.6YEU9bVyYg-F0OYjz9-ZtSR6-X2TdoqE1nRCvy522dog.JPEG/900%EF%BC%BFIMG%EF%BC%BF20251027%EF%BC%BF145639%EF%BC%BF459.jpg?type=w80_blur|||https://postfiles.pstatic.net/MjAyNTEwMjdfMTQy/MDAxNzYxNTUyMDUxMzA0.aRtE6VzRLgEi7ChjkDU6ZG63gKN4MT5rTvJK_QsSWV0g.JZE6CYU-8R_EFadV0p28lQS0G8Z0dWKX8J1BFrXw0xcg.JPEG/900%EF%BC%BFIMG%EF%BC%BF20251027%EF%BC%BF145639%EF%BC%BF751.jpg?type=w80_blur|||https://postfiles.pstatic.net/MjAyNTEwMjdfNjAg/MDAxNzYxNTUyMDgxNjQ5.F7gyNo5pOE5r8Z7B9DG1L5Hs55NBbzKt__9xGmUVvckg.VieRwdWAZjKqqgvNTnybagVF7ks4hni3do2_jsccxQIg.JPEG/900%EF%BC%BFIMG%EF%BC%BF20251027%EF%BC%BF145639%EF%BC%BF766.jpg?type=w80_blur|||https://postfiles.pstatic.net/MjAyNTEwMjdfMjMy/MDAxNzYxNTUyMDcyMDYy.T1feSN1dUAiZ4D_zwaslGo5lsGdIfilUz-4SAyaDwzQg.4VjOp0RcrkWyP2t7cJ64yUE9Hc5aPIIrH4LPAWDx6v0g.JPEG/900%EF%BC%BFIMG%EF%BC%BF20251027%EF%BC%BF145740%EF%BC%BF324.jpg?type=w80_blur|||https://postfiles.pstatic.net/MjAyNTEwMjdfMjQ3/MDAxNzYxNTUyMDg3ODc1.b7VsJYTd6ZfdeVcM-3xpXn9qrJXn4djOLqP764c6e-gg.cuv7WYCQbJk907Gg4J_HMqC2N5S2QCZbAjLvf5WvTOMg.JPEG/900%EF%BC%BFIMG%EF%BC%BF20251027%EF%BC%BF145743%EF%BC%BF082.jpg?type=w80_blur|||https://postfiles.pstatic.net/MjAyNTEwMjdfNDgg/MDAxNzYxNTUyMDcyNDE5.XH-sRFqVJQXQT5hQeC71H2Koq-c4-LQi7SN2I3ofy28g.KQ7p8Gec_-oBU0Z1fJq91lzVfyvf3PvoBPsrWDjcyLcg.JPEG/900%EF%BC%BFIMG%EF%BC%BF20251027%EF%BC%BF145634%EF%BC%BF448.jpg?type=w80_blur|||https://postfiles.pstatic.net/MjAyNTEwMjdfOTMg/MDAxNzYxNTUyMTE4ODI1.quucETPRLD7EyV0Kaw51PIbNoZsLreFikjFVRsNj3vEg.5iY6mx5bgEX6e4LKpPZvRFDY5Zbw-a2a5tCJsknA5Isg.JPEG/900%EF%BC%BFIMG%EF%BC%BF20251027%EF%BC%BF145630%EF%BC%BF623.jpg?type=w80_blur|||https://postfiles.pstatic.net/MjAyNTEwMjdfMTI0/MDAxNzYxNTUyMTE0MTc1.aMdlHTH2djHnNvJmnpNpbZ_DyGwZ3Lw-CJ8eV8EpJuUg.iDUuKYK_5D4n9GBKgxtVev6jk0X_BZW0dyIz1hIkNKEg.JPEG/900%EF%BC%BFIMG%EF%BC%BF20251027%EF%BC%BF145627%EF%BC%BF259.jpg?type=w80_blur|||https://postfiles.pstatic.net/MjAyNTEwMjdfMjg3/MDAxNzYxNTUyMDQ5MTYx.TCE6iXcY49FJ_2425GRwKTXLGyLv-38rQslTVf7Q1B8g.MV91i5pkJy9x4030pnGBrMdnnbvtpkNDa0rf0bncVw0g.JPEG/900%EF%BC%BFIMG%EF%BC%BF20251027%EF%BC%BF145623%EF%BC%BF536.jpg?type=w80_blur|||https://postfiles.pstatic.net/MjAyNTEwMjdfMTc0/MDAxNzYxNTUyMDU2MzIy.CNXrGxqOPVOq66dpjexdo9dnVpSceq40TEtAGvJg46wg.38_Pr43AFzpANpdjIAskvzFmxG897mp5sDaPYIX2y1Mg.JPEG/900%EF%BC%BFIMG%EF%BC%BF20251027%EF%BC%BF145620%EF%BC%BF565.jpg?type=w80_blur|||https://postfiles.pstatic.net/MjAyNTEwMjdfMTcw/MDAxNzYxNTUyMDkxMDA1.7qkvBd1SGfNW590el9DVxAbgiDdXS0C3IYOJVM14wxEg.0Th7L6sCAw2nCl_y4dlRGieOTXCS7ISwXTk1xbQn0M8g.JPEG/900%EF%BC%BFIMG%EF%BC%BF20251027%EF%BC%BF145609%EF%BC%BF609.jpg?type=w80_blur|||https://postfiles.pstatic.net/MjAyNTEwMjdfNTEg/MDAxNzYxNTUyMDY4MzM4.4E6uJ9eELF7bA89UgBPP_KIvfRJ_OlH7wdrMBjqLAt0g.VEozqpMFvZ_pIEq7p69JHtshpJXxtUkB-Lpi0aCeKNsg.JPEG/900%EF%BC%BFIMG%EF%BC%BF20251027%EF%BC%BF145613%EF%BC%BF085.jpg?type=w80_blur|||https://postfiles.pstatic.net/MjAyNTEwMjdfMjQy/MDAxNzYxNTUyMDczMjk2.1aaYJ324H4xHBKVsuOhlbIjxG5e7Me1B5Ck6Xq9zvRMg.M0pdv1St8bJ2Vs9zA2nURR3cgf13c4-3mSC7LyXIewQg.JPEG/900%EF%BC%BFIMG%EF%BC%BF20251027%EF%BC%BF145615%EF%BC%BF548.jpg?type=w80_blur|||https://postfiles.pstatic.net/MjAyNTEwMjdfNTkg/MDAxNzYxNTUyMDY0MjM2.C6M1uOZcMwdiAvKmQFhzrWhNItq6GtiwGj8KMtdPE1Ag.9cStvYiXC77dM84sgBhHTmcK4Xxt0fnTlVutR4w1Ntog.JPEG/900%EF%BC%BFIMG%EF%BC%BF20251027%EF%BC%BF145602%EF%BC%BF093.jpg?type=w80_blur|||https://postfiles.pstatic.net/MjAyNTEwMjdfMTUz/MDAxNzYxNTUyMDc3MjE5.A7Bx2tRFJSiDtLR-Jxor9aOwl5a1lKce9fseO4Beqegg.eHXETAziqFOl19ll9rFY9CVX-AWGOgmWEu96vEuV38Mg.JPEG/900%EF%BC%BFIMG%EF%BC%BF20251027%EF%BC%BF145558%EF%BC%BF509.jpg?type=w80_blur|||https://postfiles.pstatic.net/MjAyNTEwMjdfMTIg/MDAxNzYxNTUyMTIzNDky.Hh_V-PwIe9U7eS4YzDWdvmbS0fdw0tX4YvqBirBDSCcg.WzTgWo1JQP4XbWuaAnziA63wHnqOmuiYYbmeo8Zf8rwg.JPEG/900%EF%BC%BFIMG%EF%BC%BF20251027%EF%BC%BF145552%EF%BC%BF041.jpg?type=w80_blur|||https://postfiles.pstatic.net/MjAyNTEwMjdfMTg3/MDAxNzYxNTUyMDc0NzM3.IvtqImWOmaiFSRhQwXSFj0ilj0NGjIRj1OXzRkJ00jYg.PMgNf6KDtknnSsxCJ1vh_tEOkPMuHOIe7wy3VKL9Rqgg.JPEG/900%EF%BC%BFIMG%EF%BC%BF20251027%EF%BC%BF145548%EF%BC%BF551.jpg?type=w80_blur|||https://postfiles.pstatic.net/MjAyNTEwMjdfMjU4/MDAxNzYxNTUyMDc4NDc2.j3VZ_2Uo7oXQEykpOWpSomjZfGUJPUpnK_r3odSjUAYg.6YnTWyRB-5gBHP1G81DJ7bO0ubnXnXdr_lA5mZMfSF0g.JPEG/900%EF%BC%BFIMG%EF%BC%BF20251027%EF%BC%BF145544%EF%BC%BF696.jpg?type=w80_blur|||https://postfiles.pstatic.net/MjAyNTEwMjdfMjU3/MDAxNzYxNTUyMDg1MTM3.aULKWgJvkwIKtxIv_J07Nzt6pNA8FbDDEn9_D9ANarwg.5MHIHfBdZoChgJOCuqMfadfNsz5Z7BWB5aAhcN_6DsUg.JPEG/900%EF%BC%BFIMG%EF%BC%BF20251027%EF%BC%BF145514%EF%BC%BF318.jpg?type=w80_blur|||https://postfiles.pstatic.net/MjAyNTEwMjdfMjA4/MDAxNzYxNTUyMDc3Mjgz.ju31wOVxX6GdfoLw4oRnrh6dZPU5_HhOD0Ee-Q0NxHUg.eNZae2qFU-sYUm4k9HrdFzAmGz_cmR95PA3oqktajCcg.JPEG/900%EF%BC%BFIMG%EF%BC%BF20251027%EF%BC%BF145505%EF%BC%BF391.jpg?type=w80_blur|||https://postfiles.pstatic.net/MjAyNTEwMjdfMTMy/MDAxNzYxNTUyMDgyMTg5.0zerHbWAoHip89A0YsgFPSrKnMmiQKH1vp514l2_uOwg.sjywteOk4pyIO-5YV3kQGeJejYla8XgD0IpecZklkKQg.JPEG/900%EF%BC%BFIMG%EF%BC%BF20251027%EF%BC%BF145501%EF%BC%BF595.jpg?type=w80_blur|||https://postfiles.pstatic.net/MjAyNTEwMjdfMTM4/MDAxNzYxNTUyMDU1OTY3.7wfLP7mXZuWyaAPZq2K9WSBKIdnAdU6JgyuFozdVQ60g.M8ifmsIlW6BlG_FQXNC_Ec5HrgbOE5_Bp_o6wTJ5Sesg.JPEG/900%EF%BC%BFIMG%EF%BC%BF20251027%EF%BC%BF145457%EF%BC%BF728.jpg?type=w80_blur|||https://postfiles.pstatic.net/MjAyNTEwMjdfMTEg/MDAxNzYxNTUyMDUwMDY4.jF603SqkgoJMudZ64rWar8qCqWHaN_Qps_AQ10MS3hog.MpIUDlWs2GYQmRcZ3_pAW2fGJRk-2D-afuEYxAOTyv4g.JPEG/900%EF%BC%BFIMG%EF%BC%BF20251027%EF%BC%BF145453%EF%BC%BF897.jpg?type=w80_blur|||https://postfiles.pstatic.net/MjAyNTEwMjdfMTgw/MDAxNzYxNTUyMDk0OTg0.kP5q5lBFpFqosTHyIeWb1MYWy1IDMdN1HEIGfTenOmog.zh-2TPg9foCF4TzLcTCDOZbiFKRmncbfZ3RzuyvcyGog.JPEG/900%EF%BC%BFIMG%EF%BC%BF20251027%EF%BC%BF145450%EF%BC%BF663.jpg?type=w80_blur|||https://postfiles.pstatic.net/MjAyNTEwMjdfMjEy/MDAxNzYxNTUyMTEwNzU2.Ey2cjzS8yJA8W18wSOH3yN5KdJOfIQt-QP3EHfzjG9Ag.2e7h5Xvbr1gZMVOV0TqLHLXEBrZlfokiiH9WyWKvWRsg.JPEG/900%EF%BC%BFIMG%EF%BC%BF20251027%EF%BC%BF145445%EF%BC%BF281.jpg?type=w80_blur|||https://postfiles.pstatic.net/MjAyNTEwMjdfNDkg/MDAxNzYxNTUyMDQ5MjYy.yh5DCdYd2-Q7Zt7IDAF2hFdlC8Moob9Yd_jlRVNrUsUg._r25T-VWKvK00o4JIHbmHPhmngGUJAznLarEj2rQ4bAg.JPEG/900%EF%BC%BFIMG%EF%BC%BF20251027%EF%BC%BF145438%EF%BC%BF484.jpg?type=w80_blur|||https://postfiles.pstatic.net/MjAyNTEwMjdfMTQ0/MDAxNzYxNTUyMDg0NDQw.rA2xFQpBIJ9G31N5sZtAsBAp2204vdH9W4jKvVZjpOgg.TvmxRSjlSTcSmY29rK5sVJt_xwPkDg2BFCGmo-8uVWkg.JPEG/900%EF%BC%BFIMG%EF%BC%BF20251027%EF%BC%BF145424%EF%BC%BF285.jpg?type=w80_blur|||https://postfiles.pstatic.net/MjAyNTEwMjdfMjc0/MDAxNzYxNTUyMDc1NTY3.lf7DinBlsDG1ZcD1vBtGEXXMuUXX1wZ2agFJp3fVLdEg.2DjX6C4ESHLEq7v0Mg4jSiZfqZSZ6_owvi6UsWm0QKAg.JPEG/900%EF%BC%BFIMG%EF%BC%BF20251027%EF%BC%BF145418%EF%BC%BF219.jpg?type=w80_blur|||https://postfiles.pstatic.net/MjAyNTEwMjdfMjM4/MDAxNzYxNTUyMDUwNjky.rcBo0HgZIKYyC1gBn9avTp2405ltzSzAhEOKL2Z95mcg.ozwVq47QxP4Z8gUWUTg_DNwEt6xRp0LANit0MP-Dmeog.JPEG/900%EF%BC%BFIMG%EF%BC%BF20251027%EF%BC%BF145413%EF%BC%BF096.jpg?type=w80_blur|||https://postfiles.pstatic.net/MjAyNTEwMjdfMjk4/MDAxNzYxNTUyMDk0Nzc4.PJV0DE-jwqdgTmyL1UTxSN0gbNIKle6cXfTjnGG0JXcg.Hj-ZXmBlaMMGKOgFhbMFykAXSRPymcykDKIEEsWZuGUg.JPEG/900%EF%BC%BFIMG%EF%BC%BF20251027%EF%BC%BF145407%EF%BC%BF225.jpg?type=w80_blur|||https://postfiles.pstatic.net/MjAyNTEwMjdfMTM4/MDAxNzYxNTUyMDk4NTcy.theprS2RGVV-nMCCfePNk3lMKlIH5BW3CtjGtiinXxog.2-azIsv3VgppWa-HebqOHDtsIdbj_MJCrSWMAqJUz_4g.JPEG/900%EF%BC%BFIMG%EF%BC%BF20251027%EF%BC%BF145403%EF%BC%BF683.jpg?type=w80_blur|||https://postfiles.pstatic.net/MjAyNTEwMjdfMjcx/MDAxNzYxNTUyMDg1Nzk4.qieNmaT0bYWqD8B83FeJ52za9bIgKDt-VkDIPltnjH8g.h_CIcgQUNhEKAun86aMwqzWmLdesTG5AgdVJuHwEosog.JPEG/900%EF%BC%BFIMG%EF%BC%BF20251027%EF%BC%BF145358%EF%BC%BF376.jpg?type=w80_blur|||https://postfiles.pstatic.net/MjAyNTEwMjdfMTk0/MDAxNzYxNTUyMDg1MjUw.dezvPenJ-nnbHyQCK-QrLdsyAF1eci1T4BvGPKGrYH0g.y31MAlXcwW-Ic-KncKN9gcxLWRxB_EMzIT4S5yu0Cj8g.JPEG/900%EF%BC%BFIMG%EF%BC%BF20251027%EF%BC%BF145354%EF%BC%BF312.jpg?type=w80_blur|||https://postfiles.pstatic.net/MjAyNTEwMjdfMzgg/MDAxNzYxNTUyMDg5MTY3.zzqI_fOQe3sMTA3SBwlS58Dtaib_KbFiud81L3GJV14g.zdtSqqdH4eplZGfmriM9XjCAQ8VvlanZZAJjjrebeyAg.JPEG/900%EF%BC%BFIMG%EF%BC%BF20251027%EF%BC%BF145349%EF%BC%BF442.jpg?type=w80_blur|||https://postfiles.pstatic.net/MjAyNTEwMjdfMTk1/MDAxNzYxNTUyMDcwMTY2.d2GdTwQLBa4OrmpdgFznr4TFx5AP0KyU7XK6r8Xm4zMg.pDUTu9PjOnUB2okh0TChiHxw-4vyGNTVQV3FXiBtABMg.JPEG/900%EF%BC%BFIMG%EF%BC%BF20251027%EF%BC%BF145345%EF%BC%BF513.jpg?type=w80_blur|||https://postfiles.pstatic.net/MjAyNTEwMjdfMzgg/MDAxNzYxNTUyMDc3NTMz.yX_eUzGuZqBKy1uMOMSTIF0WmRRO9Zi94twuHwh2BR4g.HyX8qxaTmRUPaqO5A7dWDLtGKyW1c4KupAGhcxwME4Ag.JPEG/900%EF%BC%BFIMG%EF%BC%BF20251027%EF%BC%BF145339%EF%BC%BF234.jpg?type=w80_blur|||https://postfiles.pstatic.net/MjAyNTEwMjdfMjkz/MDAxNzYxNTUyMTA3NzI1.tp7-pEUUirg0-DWmiH9ZXbMNBe-cqWJRcIa6nrHQx-Ig.OeYmCTJ6iNPSXgBqvlpvT32F-XHaOLqDkot9NQBT8J4g.JPEG/900%EF%BC%BFIMG%EF%BC%BF20251027%EF%BC%BF145333%EF%BC%BF645.jpg?type=w80_blur|||https://postfiles.pstatic.net/MjAyNTEwMjdfMTA2/MDAxNzYxNTUyMDgyNzQy.3MqiMnLewn4hFeHWKyVAov5cwbPNK7MyteXDxvYzJHYg.MOrbHwc8BL8Q3CoNESdaSmYODdnxwbQ9LQYZE5UHq6kg.JPEG/900%EF%BC%BFIMG%EF%BC%BF20251027%EF%BC%BF145323%EF%BC%BF834.jpg?type=w80_blur|||https://postfiles.pstatic.net/MjAyNTEwMjdfMTEg/MDAxNzYxNTUyMDcwNTI4.f0iqSGnf_khfU_1jyonxgiAgY65EUvXz6-DG-HzowGEg.Z1N6uwnbuC8fTABFqigaf4SXu2XRrMKYfKWZvCm2segg.JPEG/900%EF%BC%BFIMG%EF%BC%BF20251027%EF%BC%BF145316%EF%BC%BF734.jpg?type=w80_blur|||https://postfiles.pstatic.net/MjAyNTEwMjdfMzQg/MDAxNzYxNTUyMDcyODI0.zMuLC-UK78hPii8wfgum9gimAedvIWNyzMfpIdvFQwwg.LBZOD1zBpSocehY4z3ff8gADdLA7i9ypGfV9xBtlHlkg.JPEG/900%EF%BC%BFIMG%EF%BC%BF20251027%EF%BC%BF145310%EF%BC%BF622.jpg?type=w80_blur|||https://postfiles.pstatic.net/MjAyNTEwMjdfMjAz/MDAxNzYxNTUyMDY1OTk0.A1hGk8TOkXl0xKArulox1se4w9-q-k74I8V_HX5c3qog.ZhUEOM3i8GujlyYQ83Y2mf9oMkSFwKDrcrTD7QbxWWEg.JPEG/900%EF%BC%BFIMG%EF%BC%BF20251027%EF%BC%BF145257%EF%BC%BF867.jpg?type=w80_blur|||https://postfiles.pstatic.net/MjAyNTEwMjdfMzYg/MDAxNzYxNTUyMDg2NDYx.zJCbFEwd-rJZl7ZJYAHwBvkBoe2hKiQt4lgX0PHYvUAg.3CuMYTi8tG47GY6ICdgsOL_pc52j4W1TEJIx9XAoi30g.JPEG/900%EF%BC%BFIMG%EF%BC%BF20251027%EF%BC%BF145253%EF%BC%BF662.jpg?type=w80_blur|||https://postfiles.pstatic.net/MjAyNTEwMjdfMjI1/MDAxNzYxNTUyMTIxNDg3.e8SMTd5OWQpZ_gg5RiK-SdXkMsS4k95YCMpOdIv8kWAg.OZMxItsTGtcAW7u3xsxFTPszBKrk0bnPKMspfyWfu20g.JPEG/900%EF%BC%BFIMG%EF%BC%BF20251027%EF%BC%BF145248%EF%BC%BF404.jpg?type=w80_blur|||https://postfiles.pstatic.net/MjAyNTEwMjdfMjQg/MDAxNzYxNTUyMTEwMzEy.UPL1EwvtFK_rtr_8xbHAok82ZhdCuHh-ZbCk3jNXJT8g.-C7g9Gf1cPfMnke3qKRUEUt6Or-T0474I8d03dMMV-Qg.JPEG/900%EF%BC%BFIMG%EF%BC%BF20251027%EF%BC%BF145243%EF%BC%BF942.jpg?type=w80_blur|||https://postfiles.pstatic.net/MjAyNTEwMjdfNTkg/MDAxNzYxNTUyMTIxMDk2.YuZqXzRadiu3ffjGM3xQjiK7IuRSr4IHlfglgcRGUdMg.sJcDVDPB9tTnxQsGAl83ikm0RaBM-ozAndsbS7TlZgog.JPEG/900%EF%BC%BFIMG%EF%BC%BF20251027%EF%BC%BF145239%EF%BC%BF590.jpg?type=w80_blur|||https://postfiles.pstatic.net/MjAyNTEwMjdfMTg4/MDAxNzYxNTUyMDc2NTQy.JPbJa_2wC9ErXB9dGDW-gq08hOr5OiIytuwMVVykMb0g.nBFQdJCgdKythr-1he0qfz3yugK0Cb6rrw52gztKMbMg.JPEG/900%EF%BC%BFIMG%EF%BC%BF20251027%EF%BC%BF145225%EF%BC%BF698.jpg?type=w80_blur|||https://postfiles.pstatic.net/MjAyNTEwMjdfMjM1/MDAxNzYxNTUyMDU2OTI5.VeAdOD6WX6HppHPHqt5pMmHgS7WXhMbju5rQhp0DaTgg.h4CkxnaeJdqyXE2m9D3qzoF3fLr9VAXj4eXJbdwfxmYg.JPEG/900%EF%BC%BFIMG%EF%BC%BF20251027%EF%BC%BF145221%EF%BC%BF365.jpg?type=w80_blur|||https://postfiles.pstatic.net/MjAyNTEwMjdfOTgg/MDAxNzYxNTUyMTE4OTQw.oVLGV0p898EN6fjDofSSm897J4stWxhj6or7bCUlzLgg.VGVI3fx3X-c36jUUX_w92Vkf26doRUlcoLZ3jckFuNog.JPEG/900%EF%BC%BFIMG%EF%BC%BF20251027%EF%BC%BF145218%EF%BC%BF424.jpg?type=w80_blur|||https://postfiles.pstatic.net/MjAyNTEwMjdfNiAg/MDAxNzYxNTUyMDU4NDQ0.k5TOoOyDxmCrZ9lBoXn4EaCBrbcExDieUTMwdBqKUlEg.30usoDgApYxG2USojen2shZJktnfR5RuDMbSiUS5_Wkg.JPEG/900%EF%BC%BFIMG%EF%BC%BF20251027%EF%BC%BF145213%EF%BC%BF356.jpg?type=w80_blur|||https://postfiles.pstatic.net/MjAyNTEwMjdfMTI1/MDAxNzYxNTUyMTA4MDc0.sV6Pvh8Ricj_s9Z7N3jHGfsEVWav50YaK8Ovapb3X_0g.rC_lRheLFtZZp1oin7kqzES6YVwtZsCnDifyk8EkuG8g.JPEG/900%EF%BC%BFIMG%EF%BC%BF20251027%EF%BC%BF145207%EF%BC%BF816.jpg?type=w80_blur|||https://postfiles.pstatic.net/MjAyNTEwMjdfMjU3/MDAxNzYxNTUyMDcyNjA2.bhge0qo7x3Pa4TnnZkUkrNDhuQFpKWz7FASSJqB0AuYg.I4L8TYV6kFefjUNG778Upq2JfL8f48-8v3FOubTQ6-Ug.JPEG/900%EF%BC%BFIMG%EF%BC%BF20251027%EF%BC%BF145159%EF%BC%BF615.jpg?type=w80_blur|||https://postfiles.pstatic.net/MjAyNTEwMjdfMTQg/MDAxNzYxNTUyMDYzMDYz.QnHCCw3YcZmoWi5C2ha5Ypl3yAnhDLP2ntmCIX0_sb0g.RGkf9R_Qu8RFnATUoSkiq3LS1Pb0TsOf3FlpNDnMm5wg.JPEG/900%EF%BC%BFIMG%EF%BC%BF20251027%EF%BC%BF145154%EF%BC%BF679.jpg?type=w80_blur|||https://postfiles.pstatic.net/MjAyNTEwMjdfMjI3/MDAxNzYxNTUyMTEzMTAx.Rjdi7-dFsj6MHqu47dZTjaSrwLC1LI5VvhdndC2j2uAg.0tGneEXFduVpWpBEB_e1FCP0LjCb4D4NuXtVd6xTgLIg.JPEG/900%EF%BC%BFIMG%EF%BC%BF20251027%EF%BC%BF145150%EF%BC%BF270.jpg?type=w80_blur|||https://postfiles.pstatic.net/MjAyNTEwMjdfMTgw/MDAxNzYxNTUyMDQ5MDMw.Wfpi1MolRiY6wUpExlpcsHG-g8bJk0_GZJ9RAz0DnZIg.gT8x3zQgwNoPGPuyMN3LYGEjH8IyewvUD0-_3kS_PUkg.JPEG/900%EF%BC%BFIMG%EF%BC%BF20251027%EF%BC%BF145144%EF%BC%BF772.jpg?type=w80_blur|||https://postfiles.pstatic.net/MjAyNTEwMjdfODYg/MDAxNzYxNTUyMTAzODIw.yPxIS_xPIPlZQjfjGK5dXuwGSpNNFm6UQoeHcc6pbXYg.s8sRNnMuPH79oqbkkRe4hXSviy34raWnC-0ACrZTOWQg.JPEG/900%EF%BC%BFIMG%EF%BC%BF20251027%EF%BC%BF145138%EF%BC%BF949.jpg?type=w80_blur|||https://postfiles.pstatic.net/MjAyNTEwMjdfMzYg/MDAxNzYxNTUyMDg3MjI0.IWuM2kdtCcAPqqIN4pU681VbZJG9kTiMXxTcL3PtC9og.81OGrWRi1Pwmsoyy1WOs-7vFTwg_pplgikqi9dmzCS8g.JPEG/900%EF%BC%BFIMG%EF%BC%BF20251027%EF%BC%BF145135%EF%BC%BF581.jpg?type=w80_blur|||https://postfiles.pstatic.net/MjAyNTEwMjdfODMg/MDAxNzYxNTUyMDU5OTcw.O-MXs9f2-5PKlS3JT0KKM1H69mVU3sf1sbzB5JgY_3Eg.y0XuXGH_7UmkIKy1zQMkasnmFiFCWGNdwZ3Q9DAwuxgg.JPEG/900%EF%BC%BFIMG%EF%BC%BF20251027%EF%BC%BF145128%EF%BC%BF588.jpg?type=w80_blur|||https://postfiles.pstatic.net/MjAyNTEwMjdfMTMy/MDAxNzYxNTUyMDU1ODky.k68WPqz22_7zcG1WrqgnEWRl5XX4nTPSh36In10dWmwg.D_DQbBRjbWU15qdZ5OwYPc3NawLt3ArApMmTAAXFwjUg.JPEG/900%EF%BC%BFIMG%EF%BC%BF20251027%EF%BC%BF145123%EF%BC%BF400.jpg?type=w80_blur|||https://postfiles.pstatic.net/MjAyNTEwMjdfMjUw/MDAxNzYxNTUyMDU4MzI0.JKYZLd3ZEpkS7UuKRiXhpuV-iT-xYh9TlOuvtO-u9YQg.3MyoO4VOTCaWpExKfni_689kcFpUCwD6AW2KGYOXqlcg.JPEG/900%EF%BC%BFIMG%EF%BC%BF20251027%EF%BC%BF145116%EF%BC%BF692.jpg?type=w80_blur|||https://postfiles.pstatic.net/MjAyNTEwMjdfMTgx/MDAxNzYxNTUyMDc1MzQ5.fIi-mdY46aMu9gp6XbP6-0z-3ax_UfhHyTa0EcEmVo0g.yAkhkk5wD4FmxKWAokI8C8AjZkXeq4oYoWvGxzi4pu8g.JPEG/900%EF%BC%BFIMG%EF%BC%BF20251027%EF%BC%BF145110%EF%BC%BF382.jpg?type=w80_blur|||https://postfiles.pstatic.net/MjAyNTEwMjdfMTM2/MDAxNzYxNTUyMDY4NjIw.OzC1ZkRiD9MJQ9fkVZzYk0w-utp2Cp0Gtyg5uhFNGHog.6hgpsXpNY-5jnSeW5enaimTTPhQjVO2kCT5pUrfrGV0g.JPEG/900%EF%BC%BFIMG%EF%BC%BF20251027%EF%BC%BF145104%EF%BC%BF684.jpg?type=w80_blur|||https://postfiles.pstatic.net/MjAyNTEwMjdfMjIx/MDAxNzYxNTUyMDc1MDY1.PXh4POY5QXTAgSQmUxjWBJ_WAqip-I0gB0NgSTeLrV8g.UJ_oFptrP07lhEfhs9BZ1rvy4I-R5vRg-XDAn7zrFkMg.JPEG/900%EF%BC%BFIMG%EF%BC%BF20251027%EF%BC%BF145056%EF%BC%BF143.jpg?type=w80_blur|||https://postfiles.pstatic.net/MjAyNTEwMjdfMTMz/MDAxNzYxNTUyMDU4OTMx.4yVEcXr1dhDnj50U2HLJ9ReDf-UPgxSDErTdk_MTngEg.9C-97TTbv_VVPf4at3zLYzbhntDkV0XtXEMsXUeaPE8g.JPEG/900%EF%BC%BFIMG%EF%BC%BF20251027%EF%BC%BF145052%EF%BC%BF428.jpg?type=w80_blur|||https://postfiles.pstatic.net/MjAyNTEwMjdfMTA5/MDAxNzYxNTUyMTIzOTI5.oR4RKIQOT5ZLtbGOSW7BT0D3w1NBB3zhBfdtiQl1-30g.w0yH96HT8bMft3VbqcAIKW3qqZzLZcuwhrigduR-Xgog.JPEG/900%EF%BC%BFIMG%EF%BC%BF20251027%EF%BC%BF145046%EF%BC%BF748.jpg?type=w80_blur|||https://postfiles.pstatic.net/MjAyNTEwMjdfMTU5/MDAxNzYxNTUyMDYyOTQ0.puee2Mp44MAlzK53dRrBqZR7rRZFVNffWg8zYSEmgjAg.IebqRYWUgFW2MRKWqbWOnJ_TqZqcOjVkYEHttMPp25og.JPEG/900%EF%BC%BFIMG%EF%BC%BF20251027%EF%BC%BF145042%EF%BC%BF763.jpg?type=w80_blur|||https://postfiles.pstatic.net/MjAyNTEwMjdfMTM0/MDAxNzYxNTUyMTE4ODY4.TDesUwAEBO1IIjKEluC6NupUygwZyXSvMU5soTdyNxgg.7kaWRNLaZXmjCIcH6r2N88xyhRyMGDLZOp9T9QMMJdkg.JPEG/900%EF%BC%BFIMG%EF%BC%BF20251027%EF%BC%BF145036%EF%BC%BF881.jpg?type=w80_blur|||https://postfiles.pstatic.net/MjAyNTEwMjdfMTMy/MDAxNzYxNTUyMTEzODY1.sb0Z9WxdlPhU6Ywe2_f_lTeHlw1MvytN2RR5Knp1a1Eg.QIEcpcOkBY1gn9hLU0ToI_O2NXs7h-b64ffxanG49hkg.JPEG/900%EF%BC%BFIMG%EF%BC%BF20251027%EF%BC%BF145028%EF%BC%BF144.jpg?type=w80_blur|||https://postfiles.pstatic.net/MjAyNTEwMjdfMTIx/MDAxNzYxNTUyMDgwODA3.CDsQF1IyBfaq7W8-Q5gl4a6-iHVy7r6HwCQvWMmaQZ4g.h_p8fuhYiBKkfj02HxPARbomK1_RQ9dLZN4CfKR4z9cg.JPEG/900%EF%BC%BFIMG%EF%BC%BF20251027%EF%BC%BF145028%EF%BC%BF249.jpg?type=w80_blur|||https://postfiles.pstatic.net/MjAyNTEwMjdfMjUx/MDAxNzYxNTUyMDUyMzA1.B2b5IEn2rit0yMMnc1ZP59jl35-BOYdq5QY3wxX8WdYg.nJV5E2m-OSwpWxZT0zagmyCwf7GP-EylxYgxAjX8q0cg.JPEG/900%EF%BC%BFIMG%EF%BC%BF20251027%EF%BC%BF145027%EF%BC%BF500.jpg?type=w80_blur|||https://postfiles.pstatic.net/MjAyNTEwMjdfOTQg/MDAxNzYxNTUyMTAxNzcx.Wzbgnf45tjnfr-kjfPlJw9yW0vdtCnvBoO_2hM-ad9Qg._o5g3UuxFqicgUROShA5WtotOr19Jcg5m8DgrN1istIg.JPEG/900%EF%BC%BFIMG%EF%BC%BF20251027%EF%BC%BF145016%EF%BC%BF163.jpg?type=w80_blur|||https://postfiles.pstatic.net/MjAyNTEwMjdfMTk5/MDAxNzYxNTUyMDYzNzkz.OaNLSo9yXl5nJOXfCaC85Ya6srV2wMoyiOOifS736xUg.7kHU0GARzOoxqcZLwBIDCwXkJl9x2JbCASMWNsy8J5Qg.JPEG/IMG%EF%BC%BF20251027%EF%BC%BF145011%EF%BC%BF036.jpg?type=w80_blur|||https://postfiles.pstatic.net/MjAyNTEwMjdfMTM3/MDAxNzYxNTUyMDg4Nzkw.yn-2YLZrZ-oI7cPFHmJULPix49iOQZY0Lphmvots8pUg.I0n6wx_c6YTp5i1wVTp3xj3W2dZh0gANvdD6mJhTkb4g.JPEG/900%EF%BC%BFIMG%EF%BC%BF20251027%EF%BC%BF145006%EF%BC%BF306.jpg?type=w80_blur|||https://postfiles.pstatic.net/MjAyNTEwMjdfMTUg/MDAxNzYxNTUyMDkwMzcy.XONMlphz0Aif7gyANIfnkh2G6JqAMN3pQIBJI6jOcxAg.I1KOjjZRwqysyOWuxyki-vivZS2KpbHunb5p2cVtkykg.JPEG/900%EF%BC%BFIMG%EF%BC%BF20251027%EF%BC%BF145001%EF%BC%BF680.jpg?type=w80_blur|||https://postfiles.pstatic.net/MjAyNTEwMjdfMTk4/MDAxNzYxNTUyMDY2ODUx.2_ozsrpUMBy9zT3MfGNAxJvaBPeQgFvVzd9pxaO6Be0g.1rOZ9XMlYAeHcuSYyoFyBcUHJ-yXc_rb2kMAZkIKjGsg.JPEG/900%EF%BC%BFIMG%EF%BC%BF20251027%EF%BC%BF144954%EF%BC%BF816.jpg?type=w80_blur</t>
  </si>
  <si>
    <t>한다</t>
  </si>
  <si>
    <t>일주일을 돌아보는 리포트 정리 &lt;25년 10월.. : 네이버블로그</t>
  </si>
  <si>
    <t xml:space="preserve">신작 [셰이프 오브 드림즈]의 성공 : PC/콘솔 매출 520억 (+41%, -10%) 추정. [P의 거짓] 누적 판매량은... FERC의 규제 강화로 투기적 프로젝트가 정리되는 가운데, 24/7 '확고 전력'이 필요한 AI 수요를 맞추기... </t>
  </si>
  <si>
    <t>blog.naver.com/s1kkw</t>
  </si>
  <si>
    <t>https://blog.naver.com/s1kkw/224054035527</t>
  </si>
  <si>
    <t>s1kkw</t>
  </si>
  <si>
    <t>리포트 요약
&lt;25년 10월 4주차&gt;
1. 2차전지 Weekly: 그래서 여기에 있다 (하나 김현수)
[데이터 포인트 해석 및 투자 전략: LFP ESS 수혜가 있는 기업과 없는 기업]
- 한국 배터리 기업 매출의 80%를 차지하는 전기차 부문은 미국의 보조금 폐지, 유럽에서의 점유율 하락으로 부진 지속. 그러나 매출 15%를 차지하는 ESS 부문은 AI 기반 에너지 수요 증가 및 미국의 대중국 관세율 인상으로 한국 배터리 기업들의 수혜가 본격화
: 상장 이후 처음으로 공모가가 붕괴되며 시총 60조원대까지 하락했던 LGES이 4개월만에 다시 100조원까지 상승할 수 있었던 것도 이 덕분. ESS 더분에 우리도 지난 2Q 당시 2년만에 이익추정치를 상향. ESS 덕분에 LGES의 연간 OP는 25년 1.4조원 -&gt; 26년 3조원으로 급증 가능하다고 판단
: 특히 LGES와 삼성SDI 같은 셀 메이커들은 배터리 셀 생산으로 인해 미국에서 AMPC까지 수취하므로 매출 비중 15%의 ESS가 이익 기준으로는 40% 이상까지 올라올 수 있음
- 그래서 여기까지 왔다
: ESS 덕분에 상반기 누적 순손실 -0.7조원 기업이 시가총액 100조원에 와있다. ESS가 없었다면 시가총액 60조원대까지 하락했을 당시 주가가 무너졌을 수 있었으나 ESS로 인해 다시 반등할 수 있었고 그 덕분에 현재 글로벌 배터리 시장 점유율 1위이자 배터리 기업 중 유일하게 현금배당까지 하는 CATL의 12M Fwd P/E 25배보다 두배 높은 50배를 부여받는 것이다(26년 순익 2조원 가정)
- 시총 100조원이 넘은 현 시점에서 추가 상승에 필요한 조건은 다시 전체 매출의 80%를 차지하는 전기차
: ESS로 인해 내년 및 그 이후 실적 추정치가 견조하다고 판단되는 기업들(LGES, 엘앤에프 등)은 최근 상승세가 실적에 근거한 상승이었으므로 단기 급등 이후 하락 리스크 제한적이라 판단하나, 그렇지 않은 기업들의 경우 향후 실적 추정치 하향 소화해야 함을 염두에 둬야
: 3Q 실적 시즌을 앞두고 일회성 이익(자회사 공정가치 평가 이익, 재고평가손실 환입 등)이 만들어내는 착시로 인해 섹터 내 긍정적인 분위기가 섹터 전반적인 무차별 상승을 만들어냄. 이에 기초해 단기 상승 국면 지속될 수 있겠으나, 이후에는 LFP ESS 수혜가 있는 기업과 없는 기업간 실적 및 주가 차별화가 전개될 수 있음
2. 네오위즈: 추정치 상향 지속, 다방면에서 긍정적 (하나 이준호)
- 3Q Pre: 연결 매출 1,102억(YoY +18%, QoQ +0%), OP 201억(+211%, +8%)으로 컨센 상회 전망
: 주요인은 1) [브라운더스트2]의 2주년 이연 매출 반영, 흥행 지속과 2) 인디 게임 신작 [셰이프 오브 드림즈]의 성공
: PC/콘솔 매출 520억 (+41%, -10%) 추정. [P의 거짓] 누적 판매량은 오리지널 320만장 이상, DLC는 80만장 이상을 달성 예상. 시리즈 합계 누적 400만장에 육박, 스테디셀러로 자리잡고 있어 긍정적/ [셰이브 오브 드림즈]는 3Q 약 50만장, 10월 현재 누적 65만장 예상. 매출 기여는 약 90억, 이익은 25억 수준 반영
: 모바일 매출은 504억(+11%, +15%)으로 예상. [브라운더스트2]의 6월 2주년 매출이 일부 이연되었고, 7~9월 업데이트도 높은 성과 이어짐. 2주년 당시 트래픽 대비 소폭 감소한 모습 확인되나 12월 2.5주년 업데이트로 반등 예상. 중화권 중심 IP 파워 증가 중으로 장기 매출 기여 기대
- 2025년 매출 4,089억(+11%), OP 620억(+86%) 전망. 추정치 상향 지속
: 올해 [P의 거짓: 서곡]의 성공 외에도 [브라운더스트2], [셰이프 오브 드림즈]의 성과가 이어지며 매 분기 연간 추정치가 상향되는 모습. 일부 플랫폼, 장르에 치우치치 않고 다방면에서 성과가 확인되고 있어 이상적
: 26년은 [P의 거짓] DLC가 부재하나 [킹덤2], [안녕 서울: 이태원편], [킬 더 섀도우] 출시가 예정되어 있고 퍼블리싱 신작도 가시화될 가능성 큼. 또한 [P의 거짓] 시리즈의 지속 판매, [브라운더스트2]의 성장 가능성이 높음
: 이익 안정성을 갖춘 상태에서 [P의 거짓] 후속작을 비롯한 PC/콘솔 라인업 5종의 정보 공개를 기다릴 수 있어 편안한 구간
- 중소형주 TOP PICK 유지
: 게임 산업의 경쟁 심화 속 장기적으로 글로벌에서 인지도 있는 오리지널 OP가 곧 게임사의 경쟁력임. 네오위즈는 [P의 거짓: 서곡] 출시로 오리지널 패키지 -&gt; 확장팩 DLC -&gt; 후속작이라는 정석적인 시리즈화 루트를 밟고 있으며 스테디셀러로 지속적인 판매량을 달성 중
: 내년 하반기 [P의 거짓] 후속작에 대한 정보 공개가 이뤄진다면 해당 시점에 [P의 거짓] 시리즈 누적 합계 판매량은 500만장을 돌파했을 것으로 전망함. 패키지 게임의 시리즈화는 후속작에 대한 소구력을 이끌어낼 가능성이 높으며 이러한 IP 파워는 기업 가치의 점진적 향상을 가능토록 함
: 출시 5년 판매량은 시리즈 1 500만장/시리즈 2 700만장 / 시리즈 3 1,000만장으로 추정, 현재 기업 가치는 현저히 저평가되어 있다고 판단함
3. 두산테스나: 개선되는 수요 전망, 반가운 증설 공시 (메리츠 김동관)
- 3Q Pre: 매출 811억(YoY -18%), OP 61억(-45%)으로 컨센서스 하회 전망
: CIS는 4Q25E 플래그십향 판매 앞두고 있는 상황에서 당분기는 전분기 수준 매출 전망. 가동률은 50% 초반 수준 추정됨
: SoC는 차량용 SoC의 가동률이 QoQ 개선 추정됨(60% 추정). AP의 경우 QoQ 소폭 감소했으나 4Q25E부터 플래그십향 양산이 본격화될 것으로 예상
- 파운드리 고객사 사업 회복과 발맞춘 증설 공시
: 주요 고객사의 파운드리 사업 회복 신호 관찰되는 중. 1) 7월 말 테슬라와의 장기공급계약 공시, 2) IBM, 닌텐도, 현대차 등 신규 고객사의 7-8nm 물량 수주 보도, 3) 1Q26E 플래그십 스마트폰 내 자체 AP 탑재 보도 등이 이어지고 있음. 동사 매출의 절대적 비중을 차지하는 고객사의 사업 환경 개선은 동사 밸류 확장 요인
: 한편 동사는 10/15 유형자산 양수결정을 공시. 그간 수요 부진에 따라 보수적 투자 기조를 견지했던 만큼 이번 증설은 향후 수요에 대한 긍정적 전망을 반영한다는 판단. 해당 장비는 4Q25E부터 1Q27E까지 순차적으로 반입될 예정. 과거 차량용 SoC 투자의 경우 장비 투자 금액의 30% 내외가 연간 매출 Capa로 더해졌음을 감안 시 약 500억 내외 Capa 증가 예상됨
- 1H25 급격한 매출 감소 및 적자전환을 딛고 점진적인 실적 개선이 예상되는 상황
: 26E에도 신규 AP 물량 증가, 차량용 SoC 샘플 물량 대응 등에 힘입어 실적 개선이 예상됨
: 적정 주가 상향. 최근 주가 급등에도 불구 실적 반등세 및 고객사의 추가 사업 개선 업사이드 리스크 감안 시 조정 시마다 매수가 필요
4. 2차전지 - 2026년 전망: 리스크 속 2026, 주가 향방은 '선택'에 달렸다 (유안타 이안나)
- 2026년 EV 시장 전망: 미국의 '수요 절벽'과 유럽의 'PHEV 중심 성장'
: 26년 미국 EV 시장은 25년 9월 말 30D/45W 보조금 전면 종료의 후폭풍을 맞을 것. BEV 수요는 -25% 급감하고 PHEV가 +54% 급증하는 구조적 변화가 예상됨. 특히 23~24년 리스로 풀린 중고 EV 물량이 대거 유입되며 3~4만 달러대 보급형 신차 시장을 잠식하는 것이 가장 큰 위협
: 반면 유럽은 +20% 이상의 견조한 성장 예상. 이는 와화된 CO2 규제(25~27년 평균)로 OEM들이 수익성 높은 PHEV 판매를 늘릴 수 있게 되었고, 독일/프랑스의 인센티브도 확대되었기 때문. 중국 기업들은 관세를 피해 PHEV 수추로가 BEV 현지 생산으로 전략 수정했으며, 이에 유럽 OEM들 역시 멀티에너지(PHEV 중심) 전략으로 선회
- 새로운 기회의 땅, 미국 BESS 시장
: AI 데이터센터와 리쇼어링으로 인해 미국 전력 수요 폭증이 EV 둔화를 상쇄할 새로운 기회(BESS)를 만들고 있음. FERC의 규제 강화로 투기적 프로젝트가 정리되는 가운데, 24/7 '확고 전력'이 필요한 AI 수요를 맞추기 위해 천연가스가 OBBBA 법안(신규 30% ITC)에 힘입어 재부상
: 핵심은 천연가스 발전소 역시 UPS(무정전 전원 공급) 및 전력 품질 유지를 위해 BESS가 필수적이라는 점. 따라서 BESS 수요는 견조하게 유지됨
: 더욱이 OBBBA 법안은 BESS 보조금(ITC)은 35년까지 유지하면서도 80% 이상의 고율 관세와 FEOC 규제로 중국산 BESS를 사실상 원천 차단했음. 이는 AMPC/ITC 혜택을 받는 한국 및 미국산 LFP ESS가 압도적인 TCO(총소유비용) 가격 경쟁력을 확보했음을 의미
- 2026년 투자 전략: '확실한 두 가지 기회'에 집중
: 26년 투자 전략의 핵심은 불확실성이 커진 미국 BEV 시장을 벗어나 명확하게 성장하는 '두 가지 확실한 기회'에 집중하는 것
: 첫째는 지정학적 리스크(미중 갈등/관세)를 기회로 바꾸는 '비중국 핵심 원자재 공급망'임. 특히 포스코퓨처엠은 미국이 배제하는 중국산 흑연을 대체할 유일한 대규모 공급망을 구축해 전략적 파트너로 부상
: 둘째는 정책과 신규 수요가 명확한 '특정 시장'임. 이는 1) AI 전력난, 반중국 관세, 보조금 수혜로 폭발하는 미국 LFP ESS 시장과, 2) 규제 완화로 PHEV/중저가 EV 수요가 견조한 유럽 시장을 의미함/ 이 확실한 수요를 선점하는 기업이 수혜를 보는데, LGES는 미국 LFP ESS 독점 양산과 유럽 LFP/Mid-Ni 동시 공급으로, 엘앤에프는 LFP 양극재의 가장 빠른 양산으로 최대 수혜가 예상
5. 반도체 장비: 시작은 역시 장비빨 (한국투자 채민숙)
- 길어진 메모리 사이클은 투자 사이클도 연장시킬 것
: 23~25년 사이 메모리 공급사들의 실적 회복은 AI 수요 확대로 인한 HBM 매출 증가에 국한되어 나타남. 그러나 AI 학습에서 추론으로 AI 수요의 중심축이 이동하면서 HBM뿐 아니라 컨벤셔널 디램/낸드 수요가 동반해서 증가하고 있음
: HBM 업사이클에 이어 컨벤셔널 메모리의 본격적인 업사이클이 시작되면서 메모리 산업은 역사상 가장 장기적이고 안정적인 업사이클에 진입할 것으로 판단. 길어진 메모리 업사이클과 메모리 투자 사이클도 연장되며 전공정 장비 기업들의 성장이 본격화될 수 있을 것
- 메모리 수요의 성격은 구조적으로 변화
: 전통적으로 경기에 민감한 소비자향 IT 수요에 기반했던 과거 메모리 업황과 달리, 지금의 메모리 수요 증가는 AI 인프라 확산이라는 구조적 성장 동력에 의해 견인되고 있음. 과거 데이터센터 투자는 서버 교체 주기 또는 클라우드 수요에 따라 경기적으로 변동함. 그러나 이제는 AI 연산 인프라 확충을 위한 필수 인프라 투자의 성격을 띄고 있음
: AI 인프라 투자는 경기 변동이나 소비 트렌드에 따라 실시간으로 조정되는 기존 IT 수요와 달리, AI 생태계의 성장과 기술 진화 속도에 의해 결정되는 수요. 이와 같은 수요 변화는 메모리 산업의 질적 안정성과 지속성을 높이고 전공정 투자 사이클을 연장시키는 요인으로 작용할 것
- Fab capa 부족, 중장기 전공정 장비 투자 이어질 것
: HBM뿐 아니라 다양한 메모리가 AI 데이터센터와 서버용으로 사용되기 시작. 이로 인해 선단 공정으로의 공정 전환은 가속화될 전망임. 그러나 22년 이후 지속된 컨벤셔널 메모리 수요 감소로 투자가 축소되어 급증하는 AI 수요에 대응하기 위한 Fab Capa는 수요 대비 부족한 상태
: 이에 메모리 공급사들은 공정 전환과 Capa 증설을 동시에 진행해 폭증하는 AI 수요에 대응하고자 투자를 앞당기고 있음. 이 같은 투자 기조로 인해 전공정 장비 기업들의 실적과 주가는 중장기 우상향 흐름 예상
6. 방산 - 전쟁은 질보다 양: 문제는 공급망이야, 바보야 (iM 변용진)
- 전쟁은 질보다 양, 전략보다 중요한 것은 무기재고와 생산능력
: 전쟁 만 4년, 러시아는 물량공세를 바탕으로 전쟁의 승기를 잡는 중. 전쟁 직후 경제/산업구조를 방산 위주로 전환하여 생산량 측며에서 우크라이나와 그를 지원하는 유럽을 압도
: 유럽은 냉전 종식 이후 30년간 축소된 무기 산업을 회복시키지 못하고 있으며 4년간 유의미한 생산량 증가를 보인 무기는 탄약 정도. 우크라이나에 대량 지원한 유럽의 지상무기 수요는 급증했으며, 해상과 공중무기는 오히려 수요 감소
- 유럽의 한계와 한국의 순항, 공급망은 하루아침에 만들어지지 않는다
: 수요를 전혀 따라가지 못하는 공급. 유럽의 전차 필요량은 1,400대 이상, 연간 생산량은 50대
: 트럼프 당선 후 미국의 우크라이나 지원이 감소하면서 유럽의 부담은 가중되고 있으며, 자국 무장까지 강화해야 하는 이중고에 시달리고 있음. 방산업 기반 붕괴와 전문인력난으로 유럽의 생산 증대는 난항을 겪고 있으며 자동차 등 타 산업의 전환으로도 쉽게 해결되지 않는 중
: 반면 한국의 방위산업 기갑무기의 엔진과 변속기 등 핵심 부품까지 국산화 완료하여 국산화율 90% 이상을 달성했으며, 탄탄한 공급망에 기반한 생산능력과 선제적 투자, 안정적 인력수급으로 수요 급증에 대응
- 러-우 전쟁은 끝이 아닌 시작. 평화를 기대할 수 없는 유럽, 종전은 시작일 뿐
: 러시아가 우크라이나 전쟁을 시작으로 NATO 침공을 이어갈 것이라는 정황은 명백. 우크라이나 전쟁을 수행하는 동시에 러시아는 유럽 동부전선 발트3국과 핀란드의 접경에 군사시설을 확충하고 NATO국가 9개국 이상에 드론 등의 도발 감행
: 원유 불법수출과 군수산업으로 경제구조를 지탱하고 있으며 표면적 평화회담과 달리 러시아의 야욕은 계속될 것
- Top Picks 현대로템, 한화에어로스페이스 / 관심종목 엠앤씨솔루션, 삼양컴텍
: 현대로템은 단일 제품으로 가장 수출 매력도 높은 전차, 유럽 및 중동으로의 수출 가속화 전망. 한화에어로는 자주포, 장갑차, 탄약 등으로 구성된 제품군으로 유럽/중동의 높은 지상무기 수요에 전방위 대응 전망
: 엠앤씨솔루션은 지상무기와 유도무기 모두에 폭넓은 부품 공급, 자력수출의 초입. 삼양컴텍은 전차, 장갑차 수출을 그대로 따라가는 편안함 지님
7. 코미코: 메모리 가동률 상승에 파운드리 투자 확대까지 (SK 이동주)
- 3Q Pre: 매출 1,513억(YoY +19%, QoQ +4%), OP 297억(-2%, -2%)으로 2Q와 유사한 수준의 실적 예상
: 기존 추정치 대비 수익성은 소폭 하락할 것으로 보이는데 1) 본사 관련 일회성 비용과 2) 대만과 우시 fab 준공 대응을 위한 신규 인력 채용에 따른 영향으로 추정됨. 다만 1)의 경우 반영 시점이 당겨진 것일 뿐이며, 2)는 신규 fab 램프업 과정에서 발생하는 통상적인 비용임
: 오히려 전방 수요 대응을 위한 CAPA 투자가 본격화되고 있나는 방증으로 해외 법인의 매출 성장 잠재력이 클 것임을 시사함
- 단기: 달리는 메모리 수요 / 중장기: 파운드리 동행하는 증설
: 전방 메모리 수요 호조에 힘입어 안성 법인의 가동률 상승세가 9월까지도 이어진 것으로 파악됨. 삼성전자 내 경쟁사의 품질 이슈로 점유율이 40% 수준에 가까워진 효과도 한 몫을 하였음. 우시 법인 역시 SK하이닉스와 중국 로컬 메모리향 공급이 QoQ 늘어난 것으로 보임
: 최근 낸드 업황도 AI 투자에 따른 공급 부족이 나타나면서 4Q25 메모리향 가동률의 상승세는 지속될 전망
: 주요 파운드리 대응 위한 증설도 상당히 적극적. 미국 피닉스 법인은 연내 준공될 예정인데 TSMC의 미국 fab 대응으로 내년 상반기를 시작으로 점진적으로 물량을 늘려갈 계획. 이외에도 TSMC의 일본/유럽 fab 대응을 위한 신규 투자도 병행 중
: 오스틴 공장의 증축 건도 내년부터 설비 반입이 시작됨. 삼성전자의 미국 팹리스 신규 고객 확보 효과와 주요 장비 업체향 신규 코팅 수요로 오스틴의 중장기 성장 가시성도 높음
- 리레이팅 안될 이유가 없다
: 목표주가 상향. 1) 이번 AI 투자 사이클은 14~18년 클라우드 사이클보다 훨씬 강하고 2) 동사는 최대 파운드리 고객사 공급을 늘려가며 체질 개선이 나타나고 있음. 소재/부품 업종 내 Top-pick 관점 유지
8. 화장품 Weekly: 화장품 산업의 업황은 개선되고 있지만, 관심이 없는 게 문제 (한국투자 김명주)
- 25년 10월 1~10일까지 한국 화장품 수출은 YoY -42% 감소했으나 이는 추석시점 차 때문
: 조업일수를 고려했을 때 화장품 수출은 YoY -9% 감소했으나, MoM으로는 +17% 증가. 이번 수출에서는 중화권향 부진이 눈에 띄었는데, 이를 제외하고 조업일수를 고려하면 YoY +15%, MoM +27% 증가함
- 특히 10/1~10일 수출 데이터에서는 미국과 러시아향 수출 회복에 눈에 띔
: 한국 화장품 브랜드사 등이 4Q 미국 쇼핑 시즌 대비에 나서면서 조업일수를 고려한 미국향 수출은 YoY +51%, MoM +49% 증가. 중국향 화장품 수출의 부진과 미국향 수출의 약진에 따라 10/1~10일 기준 전체 화장품 수출 내 미국향 비중은 26%로 역대 가장 높은 수준 기록
: 시장의 우려와 달리 8월을 바닥으로 화장품 수출 데이터가 점진적으로 회복세를 보이고 있음. 화장품 산업의 업황은 개선되고 있지만 시장 내 수급 쏠림에 따라 차익실현 니즈가 높아지면서 섹터 주가 조정이 이어지고 있는 점이 아쉬움
9. 화장품: 메이크업 예능시대's 아이디어! (신한 박현진)
[저스트 메이크업, 퍼펙트 글로우까지! 제2전성기 기대!]
- 한국 인디뷰티 위상 알리는 메이크업 예능 프로그램의 등장
: 한국 인디뷰티 수출 성장 강세 트렌드를 알리는 문화/예능 컨텐츠 붐이 일 조짐
: 10월 초부터 방영한 '저스트 메이크업'은 5개국 이상에서 아마존 프라임 비디오 인기 컨텐츠 Top10 안에 랭크 되었고, 쿠팡플레이에서도 주간 순위 Top1위 기록 중
: 여기에 11월 tvN 방영 예정인 '퍼펙트 글로우'는 미국 뉴욕에서 한국 컨셉 뷰티숍을 전개함으로서 한국 인디뷰티 입지를 재확인하는 문화 컨텐츠이며, 방영 전부터 소셜미디어상에서 예비 시청자들의 관심이 높음
- 소외 받았던 브랜드사들 해외 시장 진출 액션 재강화
: 이러한 한국 메이크업 예능 프로그램 확산은한국 인디뷰티의 경쟁력을 전 세계에 다시 한번 더 알리는 계기가 되기에 충분함. 그래서인지 '24년 하반기 미국 성과가 나올 줄 알았던 몇몇 기업들의 예상외 실적 부진을 겪었으나 3Q25 신제품 출시와 마케팅비를 늘려가며 해외 시장 진출 액션이 강화되는 양상임
- 기초에서 색조까지 아우르게 될 한국 화장품 수출
: 당사 리서치는 '24~'25년 연간/반기 전망 레포트에서 줄곧 '23~'24년 화장품 수출 성장사이클 초기 성장 구간, '25~'26년을 중기 성장 구간으로 언급한 바 있는데 초기~중기 성장의 주인공이 기초 화장품 성장이었다면 이제는 색조 화장품을 포함한 한국 인디뷰티 전반을 아우르는 카테고리까지 수출 성장이 강화될 것
- 한국 뷰티 인플루언서들의 영향력 강화 예상
: 메이크업 예능 시대를 맞아 뷰티 인플루언서들의 영향력이 한층 강화될 것으로 예상하며, 따라서 그들이 애용하는 브랜드/제품을 찾아 투자 아이디어로 제안
: 수혜 예상기업으로 아모레퍼시픽, 토니모리, 클리오, 아이패밀리에스씨 등. 그간 업종 내 소외받던 기업들
- '26년을 앞두고 금번 겨울, 이제 소외주에 관심 필요
: 기초 화장품에서 강세를 보이는 에이피알, 달바글로벌은 '26년에도 YoY 50% 이상의 매출 성장을 전망함. 두 기업 모두 '25년 성장률에 비하면 50% 성장률이 새롭진 않음. 하지만 토니모리, 클리오, 아이패밀리에스씨 등 소외주들에 50% 매출 성장은 도전이고, 주가 추세 반등에 기회임
: 단기적으로 에이피알에 대한 최선호주 관점은 유지하지만 '25년 블프, 크리스마스 쇼핑 주간을 맞아 한국 인디뷰티 수출 성장은 색조라는 카테고리를 더해가며 업종 평균 두 자리 매출 성장 추세를 유지해나갈 전망임. 따라서 '26년을 맞이해 우리는 지금까지의 소외주, 그리고 색조 ODM 강자 코스맥스 등에 관심 더 필요
10. 의료기기: 10월은 무비자와 함께 역대급 기대 (DS 박종현)
- 25년 9월 의료 관광 소비 금액은 25년 4월 이후 최대인 1,994억(YoY +72%, MoM +30%)으로 증가
: 전문의 복귀로 시술 현장 의료진 부족 있었으나 25년 9월 이후 회복세 진입. 25년 10월 국경절 및 무비자 기반 역대 최대 금액 기대. 외국인 의료 미용 성형 시술 부가가치세 환급 연장은 여당 3년, 야당 1년으로 발의
- 미국 톡신 시장은 수요 둔화가 아닌 MS 변화로 파악
: Allergan은 MS 감소 중이며, 대웅제약과 휴젤의 파트너사 판매 전략에 주목. Galderma는 미국 톡신 중 가장 큰 매출 성장세 보이고 있음. Evolus는 D2C 기반 제품 라인업 확대. 휴젤은 메디컬 마케팅 판매 방식 채택. 10/23 Galderma, 11/5 Evolus 실적 발표 예정
- 인체조직이식재 ECM 필러 기증자 동의 이슈 관련
: 이슈 있었으나 미국 조직 은행연합회 AATB는 기정 목적에 'Enhancing Quality of Life by restoring from and function'을 표기. 해당 목적을 미용으로 해석하는 것이 관건
: 엘앤씨바이오는 3Q25E 연간 매출 목표 30억 달성 전망. ECM필러는 HA피럴 대체로 포지셔닝될 전망
- 업종 12M Fwd PER 24년 이후 최저
: 미국 톡신 수요 둔화 우려 해소 및 의료 관광 성장으로 업종 주가 상승 기대
: 휴젤은 신규 매니지먼트 중심 해외 시장 확대, 클래시스는 브라질 파트너사 정상화, 국내 쿼드세이 판매, 26E 중국 볼뉴머 허가 주목. 파마리서치는 유럽 판매 본격화 주목
: 미용 의료기기 업종 선호 의견 유지하며 파마리서치 Top pick으로 적정주가 유지
11. Tech: 2026년이 아니라 2029년까지 봐야 합니다 (삼성 문준호)
- Part 01. 계속 확대되는 AI 투자 - 당신은 아직도 과소평가하고 있다 (Feat. Open AI)
: 모두가 AI 투자를 주도하고 있는 하이퍼스케일러들의 CAPEX를 트랙킹하고 있고 이를 통해 AI 수요 전망을 논해 왔음. 하지만 이제 AI 투자 주체가 Tier-2와 국가(소버린 AI)까지 확대되고 있음
: 오픈AI만 해도 지난 한 달 사이 29년까지의 26GW 규모 투자 계획을 공개함. 기존 스타게이트까지 더하면 36GW. 경쟁사들이라고 가만히 있을까? 아직 AI의 큰 그림은 다 그려 지지도 않았음
- Part 02. Multi-year up-cycle - 소부장은 이제 막 시작이다
: HBM 수요가 증가할수록 범용 디램의 Capa는 더욱 잠식됨. 지금도 공급이 부족해서 연일 가격이 오르는 상황. 삼성전자 P4와 SK하이닉스 M15X가 증설되고 있지만 이는 오롯이 HBM에만 할당 예정으로 범용 디램 공급에 기여하기 어려움
: 그런데 AI 수요는 29년까지 더욱 증가할 전망. 27~28년 P4 2기와 SK하이닉스 용인 fab 증설 없이 수요를 감당할 수 있을까? 삼성전자는 파운드리 투자도 재개해야 함. 소부장의 Multi-year up-cycle은 이제 막 시작 단계인 것
- Part 03. 투자 전략 - 지금 보다도 더 높게 봐야할 때
: 신규 투자 앞두고 소부장 업체들의 주가는 급등했고, 현재 유례 없는 수준의 밸류에서 거래되는 중. 그러나 과거와 달리 이번 사이클은 중장기 이익 가시성이 확보되어 있음. 사이클 초기 보여지는 프리미엄은 물론이고 거래될 구간 자체가 업그레이드 되어야 한다고 판단함
: 단기적으로는 디램 증설 수혜가 큰 증착 업체들을 선호하며, Top-pick은 원익IPS. 소재나 파운드리 노출 기업들도 탄력도는 낮을 지언정 이번 업사이클에서 소외되지 않을 것
12. 통신장비: 2026년은 새로운 통신 혁명의 원년 될 것 (하나 김홍식)
- 26~30년 네트워크 진화 혁명 일어날 전망, AI/양자암호가 촉매제 될 것
: 20년 이후 6년간 통신 인프라 투자 부진. 큰 불만이 없었기 때문. 하지만 서서히 문제가 나타나고 있음. 트래픽이 폭증하고 속도가 느려지면서 서비스 품질이 저하되는 현상이 이미 발생 중
: 통신사 매출도 정체 양상. 7년 동안 요금제 개편이 없었으니 어찌 보면 당연함. 각국 규제 기관은 AI를 밀고 있는데 현실은 따라주지 못함. 전력/네트워크 인프라는 고사하고 최근엔 보안까지 말썽임. 더 이상 버틸 수 없는 지경에 이르렀다는 판단임
: 결국 AI와 양자암호통신을 장착한 통신장비를 기반으로 통신사들이 신규 주파수에 투자하고 요금제 개편에 나서면서 26년부터 30년까지 차세대 네트워크를 기반으로 한 통신 혁명이 나타날 수 있을 것이란 판단
: 이미 토대는 갖추어지고 있음. 미국을 필두로 25년 말부터 신규 주파수 할당이 이루어질 것이기 때문
- 통신장비 이익 턴어라운드 예상, 미국 투자 확대가 기회 요인
: 여전히 부정적인 시각이 존재하는 상황이지만 26년부터 미국/국내 통신사를 중시믕로 본격적인 5G 네트워크 투자 재개가 예상됨. 규제 기관 입장에서 재원 확보의 필요성이 커지는 가운데 통신사들의 서비스 매출액 정체 양상이 심화되는 양상이며 5G 서비스 품질 저하로 네트워크 품질 개선에 대한 소비자들의 욕구가 커지는 상황이기 때문
: 특히 미국 시장을 주목할만함. 당초 예상보다 훨씬 큰 800MHz 대역 주파수 공급 방안이 나왔으며 네트워크 투자에 대한 세액 공제 혜택 부여 방안이 발표되었기 때문. 실제 미국 통신사들의 공격적인 CAPEX 집행 움직임이 포착되고 있으며 공격적인 5G SA 전국망 구축 및 5G Advanced 도입 움직임이 활발해지는 양상. 26년~30년까지 미국 네트워크 투자 전망을 밝게 하고 있음
: 전년대비 다소 개선된 흐름을 보였던 국내 통신장비 업체들은 26년엔 전세계 최대 시장인 미국 시장 호전으로 25년보다 대폭 개선된 실적 개선 양상 나타낼 전망. 26년부터 주파수 경매가 본격화될 것이라는 점, 사업자간 네트워크 경쟁이 심화될 것이라는 점에서 믿어 의심할 여지가 없음
- 이벤트 감안하면 통신장비 매수 서둘러야 할 시점으로 평가, RFHIC/케이엠더블유 등 추천
: 과거 통신장비 업종은 주요 국가들의 신규 주파수 할당과 네트워크 투자 기대감으로 선행적인 주가 흐름 나타냄. 그렇다고 보면 통신장비 업종은 매수를 서두를 필요가 있을 것. 미국을 시작으로 25년 말부터 주파수 경매가 시작될 것이며 AI와 양자암호통신을 무기로 새로운 5G Advanced 서비스가 등장할 전망이기 때문
: 각 세부 업종 별로 대표성을 가진 종목들을 매수할 것을 권함. RFHIC/KMW/쏠리드/이노와이어리스/ICTK/우리넷/RF머트리얼즈 등이 대표적
13. 전기전자: 예상보다 강력한 아이폰 수요 (KB 김동원)
- 미국/중국 아이폰17 판매량, YoY +14% 증가
: 9월 출시된 아이폰17 시리즈 판매량이 첫 2주 동안 아이폰 최대 판매처인 미국/중국에서 아이폰16 대비 +14% 증가해 예상보다 강력한 아이폰 수요 확인. 특히 미국/중국은 전체 아이폰 판매량의 63%를 차지하는 핵심 시장인 만큼 의미 있는 판매 데이터인 것으로 확인됨
- 애플, 아이폰17 시리즈 생산량 +10~15% 확대할 전망
: 애플은 아이폰17의 양호한 초기 수요를 반영해 프로/프로맥스 등 고부가 모델 중심 생산량을 +10~15% 확대할 것으로 예상됨
: 이는 1) 연간 판매량의 63%를 차지하는 미국/중국에서 초기 판매 호조를 나타내고 있고, 2) 동남아 국가 중심 아이폰17 일부 모델의 경우 이례적인 품절 사태를 기록하고 있으며, 3) 중국에서도 아이폰17 초기 판매량이 샤오미 신제품의 판매 수량을 넘어서고 있기 때문
- LG이노텍, 아이폰 수요 강세 최대 수혜주
: 최근 애플이 중국에서 공개한 초슬림 모델인 에어의 경우 사전 예약 10분 만에 베이징/상하이 등 주요 매장에서 완판됐고 온라인 주문도 1~2주 배송 지연을 나타내며 이례적인 수요 강세를 나타내는 중
: 따라서 전체 매출의 83%(17조원)가 아이폰 매출인 LG이노텍은 아이폰17 시리즈 판매 호조 영향으로 하반기 실적의 경우 예상을 크게 상회하는 서프가 기대되고, 26년에는 21년 이후 5년 만에 실적 개선 국면 전망
: 특히 PBR 0.8배로 역사적 밸류 하단인 LG이노텍은 휴머노이드 로봇 카메라와 자율주행 비전 솔루션 등을 북미 로봇 및 자율주행 업체인 피규어AI, 보스턴다이내믹스, 테슬라 등으로 향후 공급량 확대가 예상되어 피지컬 AI 매출 증가에 따른 주가 리레이팅 기대됨
14. 증권 - 3Q25 Pre: 컨센 상회. 증권업, 아직도 싼 이유 (키움 안영준)
- 커버리지 합산 순이익 YoY +26%, QoQ -12% 변동한 1조 2,578억으로 컨센서스를 6% 상회할 것으로 예상
: 2Q에 이어 한국 증시 거래대금 증가가 실적을 견인할 것으로 예상
- 아직 밸류 상단을 논하기는 이르다 (feat. 2017년)
: 이전 보고서를 통해 증권주 PBR 멀티플 리레이팅의 원인으로 단순히 증시 호조와 거래대금 증가만이 아니라 범국민적 금융시장 관심도 증가/증권사 대규모화에 따른 실적 변동성 완화/주주환원 확대로 자본 활용 효율성 상승 등 증권업 내외부의 구조적인 변화를 제시. 이러한 구조적 변화는 중장기 점진적으로 증권주 멀티플 향상에 기여할 것으로 예상됨
: 단기적으로도 증권주 밸류 상단을 논하기는 이른 시점. 근거는 Historical PBR이며, 비교 대상 시점은 현재와 가장 시장 상황이 비슷한 2017년. 17년은 삼성전자/SK하이닉스의 주가가 각각 약 40%/70% 상승하며 IT 주도로 증시가 신고점을 기록한 상승장인 동시에 시중금리가 하락한 후 안정되는 시기였다는 점이 유사. 당시 커버리지 증권사 평균 PBR 고점은 1.0배로 현재의 0.9배 대비 높은 수준이었음
: 증권주의 PBR은 17년 당시를 넘어서는 것이 합리적. 증시 일평균 거래대금은 17년 9조원 -&gt; 25년 YTD 23조원으로 156% 증가하는 등 업황응 크게 좋아짐. 증권사의 REO 역시 당시 7% -&gt; 최근 10% 초반까지 상승하는 등 수익성도 향상. 향후 생산적 금융이라는 당국의 정책 기조에도 가장 잘 부합하는 업종이기도 함
: 17년 이후 증권주 PBR 하락 이유는 18~19년 미중무역분쟁 및 미국 금리 인상 등에 따른 증시 부진, 20~23년 금리의 급격한 상승으로 부동산 등 업황 악화, 24년 반도체 업황에 따른 증시 부진 등. 지금 증권주는 멀티플 리레이팅 요인은 완화되고 있고 우호적인 업황은 지속되는 동시에 구조적 변화가 가격에 반영되는 구간
: 직전 수 년 간 PBR이 낮았다는 이유만으로 투자자의 시각이 낮은 밸류에 고착화되어선 안됨. 섣불리 증권주의 고점을 예측하지 말 것을 지속 권고
15. 파인엠텍: 주가만 흔들렸을 뿐 (메리츠 양승수)
- 3Q Pre: 연결 매출 573억(YoY -42%), OP 16억(+56%)으로 흑자 지속
: 매출은 올해 폴드 신제품 흥행에도 불구 점유율 감소와 ASP 하락 영향으로 다소 부진할 전망. 다만 OP는 고정비 부담이 확대되는 가운데에서도 수율 개선 효과로 흑자 기조 유지할 것으로 예상
- 2026년 주요 가정 유지
: 동사의 26년 매출/OP 추정치 유지. 이는 26년 디스플레이 고객사의 패널 출하량 증가(25년 880만개 -&gt; 26년 2,500만개), 동사의 점유율 및 ASP 등 주요 가정에 변동 요인이 확인되지 않았기 때문
: 최근 일각에서는 북미 주요 고객사의 폴더블 신제품 출시 지연 가능성을 제기하고 있으나, 현재까지는 26년 출시를 목표로 계획이 순조롭게 진행 중인 것으로 파악됨
: 이에 대응하여 동사는 20일 기준 두 번째 UV Laser 설비 신규 투자 공시를 발표하며 생산 대응력을 한층 강화 중. 내년에는 북미 주요 고객사뿐 아니라 국내 주요 고객사 역시 레이저 드릴 메탈플레이트를 채택할 예정으로, 국내 고객사 내 점유율 회복 또한 핵심 모멘텀으로 기대됨
- 펀더멘털 견고, 달라진 건 관심 뿐. 적정주가 유지
: AI 및 메모리 업사이클 수혜주로 시장의 관심이 이동하는 과정에서 동사 주가는 고점 대비 -32% 조정 받음. 그러나 폴더블 확장 기반 26년 급격한 성장세가 예상되는 동사의 펀더는 변함없이 견고
: 특히 중국 부품/소재 업체와의 경쟁이 심화되는 가운데, Layer 단에서 높은 점유율로 진입할 수 있는 국내 부품/소재사는 극히 제한적일 것으로 파악됨. 향후 북미 주요 고객사의 폴더블 모델 출시가 구체화될수록 동사의 가치가 점차 부각될 것으로 예상
16. 방산: 전쟁이 끝나도 쇼핑은 계속된다 (다올 최광식)
- "러-우 전쟁이 끝나도, EU의 쇼핑(재무장)은 계속된다"가 이 보고서의 결론
: 뻔한 이야기를 발간하는 이유는 8월 푸틴-트럼프 회담, 10월 이스라엘-팔레스타인 휴전에 방산 업종 주가가 하락했기 때문. 전쟁이 끝나도 교훈, 정책변화를 바탕으로 재무장의 시간이 펼쳐진다고 설득하고자 함
- EU는 러-우 전쟁을 전쟁의 끝으로 해석하지 않는다
: 미국/EU의 수많은 국제안보/국방 관련 연구기관은 종전 후에 러시아의 재무장과 재침공에 대한 예상을 제시함. 2~3년 안에 NATO에 위협을 가할 정도의 지상방산 전력을 복구하고, 3~4년 안에 지역전(발트해), 5~8년 내에는 더 큰 전쟁을 수행할 능력과 가능성이 있다고 경계함
: 이에 EU의 재무장을 위한 정책 기조는 계속됨
- 재무장이 시급한 NATO는 미국의 지원이 더 필요한데, 반대로 트럼프는 유럽은 스스로 안보를 책임져야 한다며 GDP의 2% 안팎 방위비를 5%까지 증액하라고 압박함
: EU는 결국 6월 헤이그 정상회의에서 35년까지 GDP 대비 5%의 방위비 투자를 합의. 단 3.5%의 핵심 군사지출과 1.5%의 방위/안보 관련 간접 항목으로 구성함
: IISS는 기존 NAT 준비태세가 50%이고, 무기체계 획득비용과 25년 수명주기를 가정할 때 25~30년에 1조달러의 국방비가 필요하다고 분석함. 미국이 담당하던 우주, ISR(정보/감시/정찰)을 제외한 규모임
: EU는 러-우 전쟁에서 우크라이나를 지원하며 21년 EDF를 출범, 처음으로 ASAP, EDIRPA로 재정 사용. 그리고 3월에는 "Readiness 2030" 백서와 "ReArm Europe" 계획을 발표해 자주국방투자를 위한 청사진과 실행 패키지를 공표
: 기본적으로 EU의 공동조달을 확대하고, 산업기반을 다시 세우며, 이를 위해 행정을 간소화하며, EU의 통합 전력체계를 수립하겠다는 것. 여기에 5번째로 NATO 및 EU 외 전략 파트너국가와의 협력 모델을 제시함
- 여기에 K방산의 기회가 놓여 있음
: 여타 기관들의 분석과 마찬가지로 청사진(백서)에서 짚은 우선 역량 투하 분야는 1) 방송/미사일, 2) 포병, 3) 탄약/유도탄, 4) 드론 및 대응, 5) 군사 기동성, 6) 인공지능/양자/사이버/전자전, 7) 전략적 지원 및 기반시설 보호인데, K방산의 무기체계에서 천궁2, L-SAM, K9 자주포, 155mm 탄, 천무와 유도탄, 레드백 등의 장갑차가 해당됨
: IISS가 제시하는 분석에서는 전투기, 해군력(구축함, 호위함, 공격 잠수함, 항공모함), 지대공과 함께 주력전차도 눈에 띔
- 러시아에 대한 Readiness에서 시작된 17년부터의 K9 EU 수출/공략이 힌트
: K9은 10개국에 수출되었는데 이중 EU가 5개국(폴란드, 핀란드, 노르웨이, 에스토니아, 루마니아)이고 이들은 러시아에 접경해 있음. K9이 EU에 팔렸던 이유가 배가 되었고, 폴란드가 대규모(계약 31.6조원, 잔여 33조원) K방산 무기체계를 도입한 것을 기억하자
- 여기까지가 EU의 러시아 재침공에 대한 우려, 자주 국방 정책과 그 막대한 투자 규모임. 종전에 주가가 빠지는 것은 합당치 않음. 그러면 무엇을 사야 하는가? EU에 K방산의 어떤 무기 체계들이 팔릴 것인지 짐작
: 미국의 공백을 감안할 대, 공군력 외에, 자주포 18대, 장갑차류 500대 이상, MBT(주력 전차) 87대임. 레드백, K2의 수혜를 기대함
: ASAP 프로그램처럼 EU가 가장 시급했던 것은 탄약 쇼티지. 한화에어로스페이스의 155mm 장약 공장이 한국과 미국 다음 유럽에도 건설될 것으로 기대함
: IISS가 제시한 EU가 조달해야 하는 무기체계들 중 주력전차 600대가 K방산의 최대 수혜. 보병 궤도형 전투차량 800대에서 레드백의 EU 진출을 기대해 봄. 장거리 지대공 24개 포대에서 M-SAM, L-SAM을 협상할 수도 있음. 궤도형/차륜형 자주포 200대도 필요
: Readiness 2030 백서에서 짚은 7대 핵심영역에서 방공 미사일의 천궁2와 L-SAM, 포병체계의 K9, 탄약 및 미사일에서 155mm 탄과 천무 및 유도탄이 떠오름
- EU가 필요로 하는 무기체계에서 가장 큰 수혜를 받을 기업은 현대로템과 한화에어로스페이스가 최선호주
: 노르웨이의 K2 실주, 슬로바키아의 전차 스펙 ROC에 대한 무지와 과대 기대 등이 있었고, 대다수 결과 발표/확정도 시장의 섣부른 기대보다 늦어 왔음
: 그러나 불확실성과 정보의 비대칭성에도 불구하고 분명한 것은 엄청난 수요가 밀려오고 있고, K방산의 수출 절벽은 28~29년이어서 그 이후를 채우는 수주에 2년 안팎의 시간 여유도 있음. 1~2년 사이에 폴란드에 버금가는 대규모 계약을 기대하며 비중확대 의견을 유지
17. 카지노: 업황은 탄탄대로 (NH 이화정)
- 매스는 견조, 하이롤러가 변수
: 외국인 인바운드 확대가 카지노 사업장 전반의 방문객 수 성장세로 이어지고 있음. 다만 사업장별 입지와 마케팅 역량에 따라 방문객 믹스가 차별화되면서, 방문객 수 증가세와 매출 성장세가 정비례하지는 않는 흐름. 한동안 중국인 단체관광객 비자면제 시행 효과로 매스 중심 방문객 수 증가세 두드러지며 이러한 흐름은 더욱 뚜렷해질 전망
: 단기 실적 및 중장기 성장 여력은 하이롤러 방문객 수 성장 여부가 결정할 것. 하이롤러 모객을 위한 콤프(호텔/부가시설) 및 마케팅 역량의 중요성이 더욱 커지는 구간
- 중국: 단체관광객 비자면제 시행
: 3Q 중국인 인바운드 173만명(YoY +22%)으로 코로나 이전의 106%에 달함. 지난 9월 말 중국인 단체관광객 비자면제가 시행된 만큼, 인바운드 확대 흐름이 한동안 극대화될 것. 실제로 10월 초 국경절 연휴 기준 외국인 카지노 사업장 전반에서 중국 방문객 수 성장세가 매스 및 일반VIP를 중심으로 두드러진 것으로 파악
: 중국 내 VIP게임 규제도 점진적으로 완화되는 흐름인 만큼, 하이롤러 모객 경쟁력 높은 사업자의 경우 특히 탄력적인 실적 성장세 보여줄 것으로 기대
- 일본: 인당 지출액 증가 여력 유효
: 3Q 외국인 카지노 기존 사업장(파라다이스/GKL) 기준 일본VIP 드롭액 및 방문객 수는 코로나 이전 대비 117%, 110%. 국내 일본인 인바운드 자체가 이미 코로나 이전 수준을 넘어선 만큼 방문객 수 성장 속도 둔화는 불가피할 것이나, 인당 지출액 증가 여력이 중장기 성장 동력으로 작용할 것
18. 에이피알 - 3Q25 Pre: 아직 보여줄 게 많습니다 (삼성 이가영)
- 새로운 역사를 쓰는 중
: 3Q 매출 3,891억(YoY +124%), OP 909억(+234%) 기대. 미국/유럽/일본 등주요 선진 시장에서 압도적인 성장세가 여전히 유지되고 있음
1) 미국 매출은 1,339억(+238%) 예상. 특히 3Q 아마존 스킨케어 부문 매출 2위를 기록한 화장품(메디큐브) 매출은 +350% 성장한 1,117억 예상됨. 아마존 중심으로 성장 중인 동시에 최근 틱톡샵 매출도 고무적. Ulta Beauty 물량도 3Q에 본격 반영된 것으로 확인됨
2) 유럽을 포함한 B2B 지역 매출은 941억(+297%) 예상(이 중 화장품 매출은 +520%). 주요 파트너인 실리콘투와의 협업이 견고함
3) 일본 매출은 605억(+298%) 예상(화장품 매출 +400%). Qoo10 분기 최대 세일 행사인 메가와리 기간 동안(약 열흘)만 250억의 매출을 기록함
- 독보적 마켓 센싱 및 구현력 - 마케팅과 상품 기획의 선순환
: 성장률의 새로운 역사를 쓰는 비결은, 독보적인 마켓 센싱 및 구현력에 있음. 마케팅 부서와 상품 기획 부서 간 긴밀한 협업 덕분. 부상하는 인기 트렌드를 잘 파악하는 마케팅 부서는 이를 콘텐츠 제작에 활용할 뿐만 아니라 상품 기획 부서가 이를 활용하여 신제품을 출시하도록 도움
: 이 같은 선순환으로 새로운 히트 상품이 지속적으로 창출되기에 1) 특정 'hero SKU'에만 의존하지 않고, 매출이 고르게 발생하며, 2) 고성장세가 유지됨
- 아직 보여줄 게 많은데, 수급까지 좋다
: 마켓 센싱 및 구현력은 독보적인데 아직도 미진출 채널이 많음. 미국/유럽/일본의 오프라인 채널 확장은 이제 시작 단계이고(일본 매출 중 오프라인 비중 18% 수준 추정), 유럽도 아마존 등 온라인몰은 아직 검토 중
: 여기에 오는 11/6 MSCI 정기 리뷰에 지수 편입 종목으로 유력함(편입확률 90%). 12MF P/E 26배 적용하여 목표주가 상향
19. 서부T&amp;D: 몰려드는 관광객과 호텔업의 호조 그리고 개발이슈 (리딩 유성만)
- 용산 서울 드래곤시티 중심의 'K-호텔 허브'로 부상
: 동사의 핵심 사업은 서울 용산에 위치한 복합체 서울 드래곤시티를 중심으로 운영되는 글로벌 호텔 클러스터. 이 단지는 아코르 그룹과의 파트너십 통해 그랜드 머큐어, 노보텔, 이비스 스타일 등 4개 브랜드로 구성된 약 1,700실 규모의 국내 최대 객실 인프라를 보유 중
: 호텔만 존재하는 단일 구조가 아니라, 레스토랑&amp;컨벤션홀&amp;루프탑 바&amp;MICE 공간이 결합된 복합 관광거점으로 설계되어 있어 기업행사, 의료관광, 전시 수요까지 흡수하는 도시형 복합 플랫폼으로 성장 중
: 관광 트렌드의 관점에서도 드래곤시티는 도심형 체류 중심의 복합 관광 모델이고, 서울 주요 관광벨트(남산~용산~한강~이태원)의 중심에 위치해 단일 호텔로 연중 안정적 유입을 확보하고 있으며, 인근 용산전자상가 부지와 나진상가 개발 진행으로 도심 재생과 유동 인프라 확장의 직접 수혜를 받고 있음
: 최근 한국 정부가 중국 단체관광 무비자 입국을 전면 재개하고, 일본/동남아 노선 증편이 본격화되면서 인바운드 관광 수요는 팬데믹 이전 수준을 완전히 회복함
- 용산 나진상가 및 신정동 부지 등 대규모 부동산 개발을 통한 미래 성장가치 부각
: 동사는 호텔 운영을 넘어 부동산 디벨로퍼로 도약 중. 25년 7월 서울시로부터 나진상가 부지의 도시계획 최종고시를 통보 받아 26년 착공 및 28년 준공을 목표로 사업을 본격 추진 중
: 동 프로젝트는 지하 8층~지상 27층 규모 복합 오피스 및 하이엔드 오피스텔 개발사업으로 총 사업비 약 1조원 추정, 매출 약 8,800억원, 순이익 약 820억원이 기대 됨. 해당 부지는 용산역 KTX&amp;드래곤시티 인접 입지로 시너지 효과가 높으며 기존 호텔사업과 결합해 '범 용산 스마트 비즈니스 밸류체인'을 구축하는 전략임
: 더불어 양천 신정동 부지(서부트럭터미널 부지) 또한 장기 개발 잠재 자산으로 평가되는 중. 동사의 신규 부지 개발이 가시화될 경우 부동산 자산재평가 국면 진입이 예상됨
- 올해도 지속적인 실적 상승세 전망
: 25년 연결 매출 2,031억(+8%), OP 515억(+7%) 예상. 실적 부문에서는 용산 드래곤시티 호텔의 성장과 인천 복합쇼핑몰의 안정적인 매출이 실적을 견인할 것
: 무엇보다 증가하는 인바운드 관광객의 수요 대비 부족한 서울 시내 호텔 공급의 수혜와 용산 나진상가와 신정동 부지의 개발 이슈라는 성장 모멘텀이 매력적이라고 판단함
20. K-POP R&amp;R: 더 높은 목표를 향해, 베이비몬스터의 비상 (DS 장지혜)
- 베이비몬스터 미니 2집 &lt;WE GO UP&gt; 초동 55만장 기록. 글로벌 라이트 팬덤 확대
: 베몬 미니 2집은 10/10 발매 후 초동 55만장 기록. 10/21 기준 25년 국내 걸그룹 초동 Top 8
: 직전 앨범인 정규 1집 초동 67만장 대비 -18% 감소한 실적에 팬덤 정체에 대한 우려 있음. 그러나 이는 베몬이 25년 1월부터 첫 글로벌 투어를 진행하며 국내 활동이 줄었기 때문으로 판단
: 베몬의 스포티파이 서울 월간 청취자 수는 24년 12월 10.8만명 -&gt; 10월 3.7만명으로 감소. 10/21 기준 695만명(MoM +4%)으로 신보 발매 후 증가세. 베몬 유튜브 구독자 수는 1,030만명(MoM +250%)으로 데뷔 1년 5개월 만에 천 만명을 돌파
: 또한 베몬은 10/16 엠카운트다운에서 10월 셋째 주 1위를 기록하며 탄탄한 라이브 실력 증명
- YG엔터는 블랙핑크의 본격 글로벌 활동 속 후속 IP 라인업의 성장과 MD 강화로 IP 레버리지 확대
: YG엔터는 메가 IP 블랙핑크의 글로벌 투어 실적이 3Q부터 인식되고 후속 IP 성장으로 실적 성장 기대됨. 최근 블랙핑크는 22년 정규 2집 이후 3년 만의 새 앨범 발매를 앞두고 신곡 뮤직비디오 촬영 돌입
: 블랙핑크 외에도 후속 IP 트레저와 베몬의 글로벌 팬덤 확대가 나타나고 있고 26년 신규 IP 추가도 기대. 또한 YG엔터는 공연 MD, 팝업스토어 등 MD를 강화하고 있어 IP 수익 레버리지 효과도 확대되는 중
21. 이수페타시스: 서프라이즈의 연속. 구조적 변화에 주목 (키움 김소원)
- 3Q Re: 연결 매출 2,713억(YoY +31%, QoQ +12%), OP 525억(+103%, +25%)으로 시장 기대치 상회 전망
: G사향 7세대 TPU용 신제품 공급이 본격화되며 P와 Q 성장을 견인할 전망. 특히 해당 제품은 초기 개발 샘플부터 고객사와 협력한 고사양 제품으로 다른 AI 가속기용 대비 수익성이 높아 믹스 개선에 긍정적
: 또한 AI ㅔㄴ트워크 수요 강세에 힘입어 Arista를 비롯 주요 네트워크 장비 업체향 수요도 확대되는 추세
: 4Q OP는 565억(+122%, +8%)으로 페타시스의 capa 증설 효과가 반영되며 시장 기대치를 재차 상회할 것으로 예상됨. 4Q에도 TPU 및 네트워크용 수요 강세가 이어지는 가운데, 중국 법인의 O사향 신제품 양산 효과가 더해지며 분기 최대 실적을 기록할 전망
- MLB, 구조적 공급 부족 지속. 목표주가 상향, 최선호주 유지
: AI 칩셋 성능 고도화에 따라 신호 간섭과 손실을 최소화하고 안정적인 전력 공급과 발열 관리가 더욱 중요해지며 다중적층 생산 방식이 MLB의 기술 트렌드가 되고 있음. 다중적층 MLB는 기존 MLB 공정(내층 - 적층 - 드릴 - 도금 - 메꿈 - 인쇄)에서 '적층 - 드릴 - 도금 - 메꿈' 공정을 반복하여 40층 이상의 기판을 생산하는 방식. 이는 신호층과 전력층을 상판과 하판으로 분리 설계하여 효율을 극대화한 초고사양 제품
: 다중적층 제품의 확대는 반복되는 생산 공정으로 인해 capa 손실을 유발하며 MLB의 구조적 공급 부족이 심화될 것으로 전망됨. 또한 난이도 높은 공정으로 인해 고사양 MLB의 진입장벽이 더욱 높아지며 MLB의 과점화 체제가 이어질 것으로 판단함
: 2026년부터 주요 고객사들의 다중적층 제품 채택이 확대되며 동사의 다중적층 매출 비중은 25년 10% -&gt; 28년 70% 이상으로 대폭 증가할 전망. 또한 기존 MLB 제품 대비 가격이 2~3배 높아질 것으로 예상되며, 다중적층 제품뿐 아니라 기존 VIPPO 제품 역시 고사양화되며 ASP 상승 추세는 지속될 전망
- 다중적층 제품의 점진적인 수율 개선과 함께 OP 눈높이가 지속 상향될 것으로 판단. 25~26년 추정치 및 밸류 조정 반영하여 목표주가 상향
22. 세아베스틸지주: 수확의 시간이 다가온다 (다올 이정우)
- 3Q Pre: 매출 8,757억(YoY -1%, QoQ -9%), OP 240억(-2%, -46%)으로 컨센 하회 전망
: 비수기 도래에 따른 판매량 부진이 주원인이며 철강 파생상품 관세 부과에 따라 수요처들의 주문 감소 역시 작용. 또한 계절 특성 상 전기료 가격 부담도 증가
: 세아항공방산소재는 여전히 고부가가치 제품 위주의 믹스로 견조한 이익률 유지 예정
- 2026년부터 신사업 전개 시작
: 26년 6월 미국 SST 공장 준공으로 미국 내 특수합금 판매 본격화 예정. 우주/항공/방산 산업에 공급할 예정이며 판가는 소재의 특성과 생산 난이도로 높게 형성될 전망
: 세아항공방산소재의 OPM이 20%대 내외를 유지하고 있는 점 감안하면 SST 공장의 이익률 역시 최소 20%는 달성 가능 판단
- 세아창원특수강의 특수합금 사업 역시 전방산업의 수요가 증가하면서 순항 중
: 방산산업으로의 공급도 이루어지고 있으며 K2, K9 포신을 만들 수 있는 곳은 국내에서 동사가 유일. 매출의 3%에 불과하던 특수합금 매출 비중을 30년 20%까지 끌어올릴 예정이라는 보도로 가파른 성장 기대
: 세아항공방산소재는 현재 가동률을 최대로 운영하고 있어 공장 증설에 대한 기대감도 높은 상황
- 26년 기대감 높은 이벤트들 도래함에 따라 업종 차선호주로 제시
: 25년 8월 제소한 특수강봉강 반덤핑은 4Q 내 예비조사 결과 발표 가능성 있음. 1Q26부터 관세 부과가 시작된다면 26년 본업의 견조한 성장 역시 기대
23. 선익시스템: 넘쳐나는 먹거리 (메리츠 양승수)
- 3Q Pre: 연결 매출 801억(YoY +523%), OP 98억(흑전)으로 불가피한 분기 역성장 예상
: BEO향 8.6세대 증착 챔버의 2Q 조기 매출 인식과 OLEDoS 장비 납품 지연을 반영해 매출과 OP 하향 조정
: 다만 OLEDoS 장비는 4Q 매출 인식될 것으로 예상되며, 연간 기준으로는 실적 변동 크지 않을 것
- 넘쳐나는 먹거리
: 동사의 증착 기술이 고객사 확대와 전방 시장 성장의 본격적인 변곡점에 진입했따고 판단
: 1) BOE는 공격적인 8.6세대 투자 기조를 유지하고 있으며, 빠르면 4분기 중 Phase 2 발주를 진행할 계획. 현재 납품된 동사의 증착기는 양산 준비가 원활히 진행되고 있는 것으로 파악되며, 별도 사양 변경 없이 후속 발주가 이뤄질 것으로 예상됨
: 2) OLED Info에 의하면 Visionox는 8.6세대 V5 공장의 골조 공사를 완료하고 1호 라인에는 VIP 기술을 적용하나 이후 라인에는 FMM OLED 증착 방식을 도입할 계획. 이에 따라 작년 기대감이 높았던 Visionox향 수주 모멘텀이 재점화될 가능성이 높다고 판단됨. Tianma 등 신규 패널사의 8.6 세대 신규 투자 가능성도 기대 요인
: 3) VR/MR 시장 내 OLEDoS 채택이 빠르게 확산되고 있으며 중국 패널 업체들이 12인치 OLEDoS 라인 투자를 본격화하고 있음. 동사는 다수 고객사에 OLEDoS 증착기 공급에 성공했으며, 기존 고객사 외 신규 고객사로의 추가 공급 가능성도 높은 것으로 파악됨
- 적정주가 상향
: 지난 분기 실적으로 8.6세대 OLED 증착기의 수익성이 확인되었고 다수 고객사 및 새로운 전방시장으로 수주 모멘텀 강화를 기대할 수 있는 시점
: 최근 주가 반등에도 26년 기준 P/E 5.2배 수준에서 거래되고 있어 여전히 저평가된 구간으로 판단됨
24. 이그전 - 과잉투자 버블에 대해서: 닷컴버블 때 성행한 '벤더 파이낸싱' (KB 이은택)
- 결론
1) 최근 'OpenAI'의 대규모 투자는 닷컴버블 당시 '벤더 파이낸싱'과 닮은 점이 많다
2) 당시에도 투자자금 부족으로 시스코, 루센트, 노텔 등의 통신장비업체들이 고객사에 돈을 빌려주어 투자하는 관행이 성행했다
3) Cisco Systems Capital이란 회사에 대해 자료에 다뤘다. 자금 관리를 위해 '캐피탈 자회사'까지 만들었다는 점이 흥미롭다
25. 소프트웨어: K-소프트웨어 vs 팔란티어 (신영 정원석)
- AI 인프라 투자 확대가 주식시장 상승을 이끌어 왔지만, 아직 AI SW 시장은 본격 개화하지 않았다
: 생성형 AI가 등장한 22년 이후 미국 팔란티어를 제외한 국내외 SW 기업들이 AI를 통한 실적 개선을 보여주지 못하였기 때문. MIT와 BCG에 따르면 기업용 AI 솔루션이 아직 대다수의 고객사들에게 효용성을 입증하지 못하고 있다고 함. 수많은 기업들이 AI 솔루션을 파일럿 형태로 도입했지만, 이를 성공적으로 확산하지는 못하고 있는 것
: 당사는 기업용 AI 솔루션이 효용성을 입증할 수 있는 열쇠가 '데이터 통합', 그리고 '에이전틱 AI'에 있다고 판단함. 본 보고서는 가장 큰 성공 사례인 팔란티어가 어떻게 '데이터 통합'과 '에이전틱 AI'를 구축했는지 살펴보고 이러한 관점에서 국내 소프트웨어 기업들은 어떤 준비를 해 나가고 있는지 살펴봄
- 2026년은 국내 AI 소프트웨어 시장이 확대되는 원년이 될 것
: 기업들은 점차 AI 에이전트 서비스 관련 예산을 확충하고 있으며, 정부도 AI 예산을 YoY +206% 증액하여 공공기관 AI 도입을 확대할 계획이기 때문. 국내 기업들은 '데이터 통합'과 '에이전틱 AI' 기능들을 출시하며 자사 솔루션을 강화하는 중
: 물론 마이크로소프트, SAP와 같은 다양한 해외 SW 기업들이 한국 시장에 진출하고 있지만, 국내 고객사들이 퍼블릭 클라우드보다 온프레미스와 커스터마이징을 선호하년 경향을 고려함녀 한국 SI/SW 기업들이 점유율을 확대해 나가는데 무리가 없을 것으로 판단
: 팔란티어는 이러한 관점에서도 약점이 없는 솔루션이지만, 높은 라이선스 및 서비스 가격으로 고객사가 한정될 수밖에 없다는 점에서 국내 기업들에게 기회가 있음
- 국내 SW 산업에 대한 비중확대 의견 제시
: 25년에는 에이전틱 AI 서비스의 부재, 정부의 예산 가뭄으로 국내 SI/소프트웨어 기업들의 실적 개선 강도가 약했던 상황. 그러나 26년은 긍정적 변화가 예상됨에도 불구 아직 주가 상승 랠리에서 소외되고 있음
26. 두산: 시장의 관심은 이미 4분기 너머 26년을 향해 (DS 김수현)
- 자회사 가치 상승 분 반영하여 목표가 93만원 -&gt; 100만원으로 상향
: 전자 BG에 대한 멀티플은 경쟁사 대비 10% 할증. 에너빌리티/로보틱스 지분 가치 상승을 반영했으며 상당 기간 에너빌리티의 기업가치가 유지될 것을 가정하여 목표주가에 반영. 다만 할인율은 다른 지주회사 대비 보수적으로 70% 적용
- 3분기 쉬어가지만 4분기 전자 BG 매출 5,000억원 육박 전망
: 전방 고객사 모델 변화에 따른 Transition 등 감안하면 3분기 전자 BG 실적은 쉬어갈 전망. 매출과 OP 모두 QoQ -10% 내외의 감소가 예상됨(매출 4,220억 / OP 1,200억)
: 이미 이 부분은 지난 2개월간 주가에 충분히 반영됨. 오히려 GB300향 볼륨 램프업이 본격화되는 4Q부터의 실적이 주가에 지속적으로 반영될 전망임. 여기에 메모리향 등 경상적 물량 증가로 인해 4Q 매출 4,910억(QoQ +16%), OP 1,420억(+18%)을 전망하는데 실제 우리 추정치를 넘어 5,000억을 상회할 가능성도 있음
- 루빈, ASIC이 여는 혁신의 다음 단계 + GDDR7은 새로운 모멘텀
: GB300에서도 주력인 컴퓨팅 트레이는 사실상 단독 공급이 확정되어 경쟁사 진입설을 불식시키며 기술적 우위를 다시 입증함. 여기에 26년 상반기 GB300과 26년 하반기 루빈 초도 매출 발생 등 26년 N사향 매출은 1조 800억(YoY +54%)을 전망. ASIC은 예상보다 다소 늦어졌으나 26년 AWS향 매출도 본격화
: GDDR7이 적용되는 루빈 CPX는 완전히 새로운 모멘텀임. 동사는 24년부터 GDDR7향 CCL 양산 공급을 시작함. 캐파증설 없이 큰 폭의 Q 증가 효과가 기대되는 부분
- 11월 자사주 소각 의무화 상법 개정 통과 시 직접적인 영향 예상
: 보유 자사주 17.9% 중 6%는 27년까지 소각 예정. 11월 중 1차 소각이 예상됨. 잔여 자사주 11.8%도 상법 3차 개정 시 소각 검토될 전망
27. 이지바이오: 곡물가도 싸고, 축산가도 높고, 이 안에 3분기 호실적이 있다 이게 내 결론이다 (유안타 허준서)
- 3Q Pre: 매출 1,205억(YoY +13%), OP 124억(+39%)으로 상향했던 기존 추정치 유지
: 9월 FAO 곡물가 지수 105pt로 20년 9월 이후 최저점이며 5개월 연속 하락세, 3대 곡물가도 22년 러우전쟁 여파로 급등 후 하향 안정화 추세 유지중. 축산가도 높게 유지중이며 특히 미국내 소고기 가격은 역사적 신고가를 기록 중
- 미국 내 사료 첨가제 수요 높을 것으로 분석
: 축산가 높아 농가의 축상공급의지 강함. 폐사율 관리 및 양질의 축산 출하를 위해 기능성 첨가제 수요 높아지는데 더해 낮은 곡물가로 농가의 첨가제 구매력은 상승하기 때문
- 2Q Devenish 실적 부진의 원인이었던 아미노산 등 미국 내 Comodity 가격도 정상화
: 약 3개월의 래깅 반영하여 오히려 3Q에는 이익에 긍정적으로 작용할 전망. 이외에도 구조조정 후 흑자전환한 자회사들의 이익 기여폭도 확대되는 국면
- 수급 요인으로 단기 주가하락 과열, 현재 주가는 26년 EPS 기준 P/E 5배 수준
: 3Q 호실적 전망 및 향후 미국 시장 내 영향력 확대 등 성장성과 비전 고려했을 때 손익비 좋은 구간
28. 원전 - 북미 탐방기 II: 펠리세이즈. SMR로 향하는 홀텍의 여정 (KB 장문준)
- 2025년 뜨거운 글로벌 원전주
: 5~6월 주가 랠리 이후 7~9월 다소 소강상태 보였으나 9월 중하순 트럼프의 유럽 방문을 계기로 미국-유럽간 원자력 분야 협력 내용이 공개되며 미국 원전주들의 2차 주가 랠리가 이어짐. 이어 한국 원전주들도 10월 들어 강한 반등세를 보이는 모양새
- 점차 단순한 '가능성'이 아닌 '구체적인 진척'을 요구하게 될 주식시장
: 기대가 그간 원전주의 움직임을 이끌었다면 시장은 점차 단순히 가능성이 아닌 구체적인 진척을 요구하게 될 것. 원전은 투자규모와 인허가 이슈 등으로 전개 속도가 느린 산업이기에 단기에 실제적인 수주나 착공이 동반될 수 있는 케이스가 제한적이기 때문
: 만약 시장의 기대와 같이 원전이 단순 기대를 넘어 착공으로 이어지기 시작한다면 서구권 기준으로는 1990년대 이후 첫 의미 있는 원전 업사이클을 맞이하게 된다는 점에서 산업적으로나 투자 측면으로나 상당한 의미를 가질 것
- 2026년 원전주의 주가 캐털리스트는 수주와 착공. 부진했던 현대건설의 반등 가능성 주목
: '구체적 착공과 수주'가 26년 원전주 주가 흐름의 주요 캐털리스트가 될 것. 한국 원전 밸류체인 전반에 대한 지속 관심을 촉구하는 가운데 늦어도 26년 초 Holtec과 함께 미국 SMR 착공, 26년 상반기 중 웨스팅하우스와 불가리아 원전 착공을 앞두고 있는 현대건설의 강한 반등 가능성에 주목
- Holtec Palisades 원전 방문. 재가동은 미국에 어떤 의미를 지니는가
: Palisades 원전은 미국 미시간주 Lake Michigan 동쪽 연안, Covert Township에 위치. 800MW급 원전인데 22년 가동 종료 후 Holtec이 3년여간 준비하여 빠르면 올 12월 중순부터 재가동에 돌입할 예정
: 재가동은 1) 미시간 주 전력공급 안정화, 2) 고용창출과 지역경제 활성화에 더해 3) 미국 원자력 역사상 최초로 폐쇄 원전을 재가동하는 사례라는 상징성까지 지님. 미국 원전 르네상스의 중요한 신호탄 중 하나가 될 수 있음
- 원전 재가동은 SMR로 가는 디딤돌. 기술력/부지 + 현대건설 EPC + 정부/지역사회 지지
: Palisades 원전 재가동은 그 자체만으로도 의미가 깊지만 Holtec에게 있어 SMR로 가는 디딤돌이라는 점에 더 주목할 필요 있음
: Palisades를 되살리는 과정에서 확보되는 모든 요소(규제기관과의 신뢰, 지역사회의 지지, DOE와 주정부의 자금 지원, 그리고 장기 전력계약을 통한 안정적 현금흐름)가 Holtec이 추진하는 차세대 SMR 프로젝트로 직결되기 때문임
: Holtec은 기술과 제조 역량을 보유한 미국 원전기업임. 여기에 이미 준비된 원전 부지를 확보하고 있음. 부족한 원전 건설역량은 현대건설이 채움. 여기에 Palisades 재가동을 통해 축적된 규제기관과의 협업 경험과 지역사회 지지가 더해짐. SMR 착공이 뚜렷해지고 있음
29. 유틸리티: 송전망 투자 확대 가능성 (NH 이민재)
- 송전망 투자는 수요 증가 때문
: 퍼스트 에너지, 센터포인트 에너지, PG&amp;E는 10/23 3Q 실적발표에서 중장기 설비투자 확대를 언급. 또 경우에 따라 대규모 추가 투자 가능성도 밝힘. 늘어나는 데이터센터를 포함한 전력수요 증가에 따른 송전망 투자 확대 때문
: 퍼스트 에너지는 오하이오, 펜실베니아, 버지니아에서 늘어날 전력수요에 대응하기 위해 송전망 투자 제안서 제출. 내년 1Q까지 결정될 예정인데 중장기 5개년 CAPEX에 반영될 전망. 참고로 인플레 요인 없이 물량 증가만으로 송전망 투자는 30% 증가할 것으로 예상. 송전망 CAPEX 구성 비중 중 60%는 신뢰성 강화, 시스템 업그레이드, 노후 자산 교체 관련, 40%는 규제 상 필수 투자 항목들
: 데이터센터 파이프라인 역시 견조한 상황. 퍼스트 에너지의 파이프라인은 '35년까지 11.7GW(2Q 11.1GW)로 실제 계약 건은 3.8GW. PG&amp;E 역시 최종 설계 단계 파이프라인은 1.6GW로 대부분 '30년까지 가동 예정
: 참고로 센터포인트 에너지는 '31년까지 휴스턴의 피크수요는 31GW('25년 대비 +10GW), 퍼스트 에너지는 '35년까지 48.5GW('25년 대비 +15GW)로 30% 이상 늘어날 것으로 예상
- 전력기기 업체에게 유리한 시장 상황 확인
: 송전망 투자 확대는 초고압 변압기, 초고압 케이블 등이 추가로 필요하기 때문에 HD현대일렉트릭, 효성중공업, 히타치, GE버노바와 같은 전력기기 업체에 긍정적. 증설을 통한 공급 확대에 숙련된 인력은 필수적이라 수급 불균형은 계속될 전망. 이는 제품의 지속적인 가격 인상이 증명해주고 있음
: 참고로 앞으로 있을 다른 유틸리티 회사들의 실적발표에서도 유사한 송전망 투자 확대가 언급될 가능성이 높음
30. HD현대일렉트릭 - 3Q25 Re: 실적과 수주 서프, 호황 종료 시점 예측 불가 (신한 이동헌)
- 듣도 보도 못한 호황, 어디가 끝인지 현재로서는 예측불허
: 미국 관세를 뚫고 역대 최대 이익률 달성, 신규수주는 29~30년 납기 슬롯을 판매 중. 미국 데이터센터, 리쇼어링, 송전망 교체 수요에 유럽 수주도 가세. 제한된 공급 시장은 인력 문제로 호황 장기화. 장기 성장에 대한 확신 기대로 주가 레벨업, 밸류 부담은 시간이 해결해 줄 문제
- 3Q Re: 영업이익률 최고치 경신, 북미 역대 최대 수주
: 3Q 매출 9,954억(YoY +26%), OP 2,471억(+51%), OPM 24.8%(+4.0%p) 기록. OP 기준 컨센 대비 +7% 상회. 북미 관세 영향은 2Q 대비 약 100억원 줄어듦(2Q 약 200억), 이외 일회성 없음. 전력기기 매출 5,878억(+88%)으로 급증하며 실적 견인
: 3Q 신규수주는 12.1억불(+71%), 지역별 수주 중 북미는 7.6억불(+192%)로 역대 최대치. 전체 수주잔고 69.8억불(+29%) 중 북미만 46.3억불로 66% 비중. 최근 공시된 765kV 변압기 수주는 미국 송전망 투자 대형화, 장기화의 상징적 의미. 영국 400kV 수주도 동시다발적 호황을 설명. 초고압차단기(GIS)도 추가 성장 동력
- 단지 걱정은 장기 호황에 따른 기술적 변동성
: 목표주가 상향. 높은 멀티플 적용은 호황 사이클 장기화를 반영하며 현시점에서 사이클 종료 시점의 예측은 불가. 단지 기술적 변동성 우려
31. 클래시스: 브라질 리스크를 기회로 바꾼 묘수 (미래에셋 김충현)
- 남미 최대 미용기기 유통그룹 JL Health 지분 77.5%를 183억에 인수 발표
: 거래 성사시 브라질, 아르헨티나, 콜롬비아에 아우르는 남미 직판영업망을 구축하며 2030 전략 중 하나인 5개 지역의 직판망구축 전략에 한 발 더 다가서게 됨
: 동사는 2Q 기준 1,590억의 현금성자산과 매분기 평균 250억의 영업현금흐름이 발생하는 기업으로 재무부담은 없으며 오히려 기존 매출채권이 상각되어 대손리스크가 경감되는 효과 기대 가능
- 브라질 리스크에 묻혀있던 글로벌 성장 전략을 복기해볼 때
1) 브라질 제외 지역에서 이미 누리고 있었던 이루다 합병 효과
: 과거 12개월 선행 P/E 30배까지 평가됐던 동사의 주가는 최근 최대주주 지분 매각설과 브라질 리스크, 반도체로의 수급 이동 등으로 고점 대비 -40% 이상 하락. 현 주가는 18배 수준으로 동사 지난 5년 평균 및 글로벌 피어 대비 저평가되고 있음
: 브라질은 과거 동사 전체 매출의 25~29%까지 차지했으나, 현지 딜러 채권회수 문제와 이에 대한 대응으로 수출 물량을 줄이는 정책을 펼치며 2Q에는 전체 매출의 5%까지 줄어듬. 이로 인해 브라질 제외 매출성장률이 67~71%에 달했음에도 성장성 훼손 우려에 시달려야 했음
: 동사는 브라질 외 지역에서 브라질의 부진을 상쇄할 정도로 고성장을 거듭하고 있었음. 이제 브라질 리스크를 '남'의 손이 아닌 '내' 손으로 적극적으로 관리할 수 있다는 점에서 다른 지역 성장성의 가치 훼손은 제한적일 것
2) 그럼 시너지는 얼마나 날까?
: 24년 Medsystems가 인식한 클래시스의 남미 매출은 850억으로 연결 인식시 내부 거래를 제외하더라도 판매가격이 30% 이상 증가하는 효과가 기대됨. 여기에 클래시스 외 다른 고객사 매출도 추가됨. 동사는 아직 구체적인 재무계획을 공개하지 않았으나 인수 첫 해인 26년 매출 증분을 700억 이상 기대하고 있음
: 아직 브라질이 정상화되지 않았다는 점에서 공격적인 숫자로 보이기는 하나, 브라질 영업과 채권회수가 정상화된다면 불가능한 숫자도 아님. 24년 Medsystems는 클래시스 외 고객사 매출로만 500억을 기록함
: 결국 핵심은 인수가 완료될 때까지 빠르게 23~24년 수준으로 브라질 사업을 정상화시키는 일. 동사는 인수과정에서 비핵심 자산을 인적분할하고 영업망과 영업지원 역량만 취했고, 이루다 M&amp;A 과정에서 확보한 노하우를 적극적으로 활용할 계획
https://t.me/WoosanXNNN
우산 X NNN의 아이디어
열정 넘치는 두 명의 PB가 변화하는 섹터와 기업에 대한 아이디어를 공유합니다. * 언급한 섹터/종목에 대해 매수/매도를 제안하지 않고, 작성 시점 관련 종목 보유 여부를 확인해드릴 수 없습니다. * 작성된 자료는 신뢰할 수 있는 정보를 기반으로 작성했으나 오류가 있을 수 있습니다.
t.me
텔레그램 채널을 하나 오픈했습니다. 관심 있으신 분들은 입장하시면 도움 되실 것 같습니다.
https://open.kakao.com/o/smt5m9ch
우산PB
국내주식 PB일임형 랩어카운트 문의
open.kakao.com
지점PB일임형 랩을 운용하고 있습니다. 투자 아이디어에 공감하시는 분들은 오픈 카톡으로 문의 주시면 자세하게 안내해드리겠습니다.</t>
  </si>
  <si>
    <t>https://postfiles.pstatic.net/MjAyNTEwMjBfMTUx/MDAxNzYwOTE5MDUwMzc3.4QGjxEpkhHZYmX-HT2R-4f03keTACf0oKvUMZewX0K0g.TWReklyIf0ro3tT5qAxYnZJNzWXR3zdgQJDGmww8x_kg.PNG/image.png?type=w80_blur|||https://postfiles.pstatic.net/MjAyNTEwMjBfMjI1/MDAxNzYwOTE5OTkzODk5.P1uDkbXQLM07h-VRfcFQRwCk4iuzfWlypiu9e0EGLIkg.pHWfbHoUexcYyFLJhu-WmpOV79-2-NqwyGlR01KBp-gg.PNG/image.png?type=w80_blur|||https://postfiles.pstatic.net/MjAyNTEwMjBfMjgx/MDAxNzYwOTIwMzc3MzQx.3VPFzBbEHUZf0fsQh3W3OfcuOw9c7qkJn2JYABImfhgg.hha2C_jWhyV-R0Tc2pbgu-kREA7S4R051vq7ZW5bexYg.PNG/image.png?type=w80_blur|||https://postfiles.pstatic.net/MjAyNTEwMjBfMTUx/MDAxNzYwOTIyMDcxOTEy.yqU9l7RMIOzZ3st06pHnIaY0fhVdt-5kdkLgCVaBACEg.Q6HE8y10l-KdXFdUhEHc3RvvC6j-lyt_YyssiT_bMKsg.PNG/image.png?type=w80_blur|||https://postfiles.pstatic.net/MjAyNTEwMjBfMjQx/MDAxNzYwOTI2MDMyMDkw.GJS8h7EHDyezu4lNR6pZ_XPx2ZySVHl_B1tIiWt_5uEg.L6jZDSJZ8bJDj42KHOEClL-ql8Ub3sL_QKbUPtc2qwQg.PNG/image.png?type=w80_blur|||https://postfiles.pstatic.net/MjAyNTEwMjBfMzgg/MDAxNzYwOTI2NTA5MjM2.o49LRR6E6_BeMASpklWOvPeY8dDfLq7PqcnjrqHBfPMg.NW1iwOcMPCzjyYu4wZC_Q2q8qKxITZKlHmq58P8lizAg.PNG/image.png?type=w80_blur|||https://postfiles.pstatic.net/MjAyNTEwMjBfNTAg/MDAxNzYwOTI2NTE3Mzkz.DEe1GHSTGv3EhppVyahtkRGEyHy3XQGgaiOD-aZh44kg.c28VR4i0Qr_CxMHwkt5-9Mm4KAtdkodrmMSH0b4jNxwg.PNG/image.png?type=w80_blur|||https://postfiles.pstatic.net/MjAyNTEwMjBfMzIg/MDAxNzYwOTI2OTAyMTQ2.F4K62bXfYWkmc9LW-jsrAL4r9K5h1ar50ZTm4ljLIsgg.Fi_g_8PRYkoErvG4vkJiuT43fA6E5Lu3oP_0prUj2N0g.PNG/image.png?type=w80_blur|||https://postfiles.pstatic.net/MjAyNTEwMjBfMjg5/MDAxNzYwOTI3ODgzMzUy.JF9UIFP16yzUgbzgJw5ioIHwWxzbxpQDgu5lAY65Fx4g.xCLaaRcpIQRgy4ZR5L-8y-6qNgTW9D9WqBuT9g13DjIg.PNG/image.png?type=w80_blur|||https://postfiles.pstatic.net/MjAyNTEwMjBfOTAg/MDAxNzYwOTI3ODk0ODEx.dDLyjACc9yr9VoigK9_FdqYIxtq9qQrdvkgAmfPaujMg.HrHQ5ucniF9hNNr3sTNdesZ__78AR73eqz0cjtDmP18g.PNG/image.png?type=w80_blur|||https://postfiles.pstatic.net/MjAyNTEwMjFfMTc5/MDAxNzYxMDI1MzIyNTk2.w_U9bQj8XMJW9mNraF_-nR-Iidrfj1XP1GicICGCNjEg.mp7bUWu-T1y6iiEd-JUfO35Nl2IUs1-KhG_Z4b2mTEog.PNG/image.png?type=w80_blur|||https://postfiles.pstatic.net/MjAyNTEwMjFfMjQ0/MDAxNzYxMDI1OTg1NDY2.OYLpiN903oWB1ZbxSJ2i2scpXVdGxGqtH9OSP5B860Ag.-RdJ0LtR_RtkOwJm5g4Pk2sFUVbCJ4d39QLvp1tBssMg.PNG/image.png?type=w80_blur|||https://postfiles.pstatic.net/MjAyNTEwMjFfNTkg/MDAxNzYxMDMzMTczNzAy.H0-m3dfr6YL8biamQwM5xy9cMVdUgDLsuBDp5RcRO_Ag.6-AcKNSntYZd8xpLZqYShVANEhGiCd9ZdYjfEF-ma4kg.PNG/image.png?type=w80_blur|||https://postfiles.pstatic.net/MjAyNTEwMjJfOTMg/MDAxNzYxMDk1MjcwNDk1.RlbjjSHGSL423DrkZsiltRf8-Mk3vfK9y-Z05b0EbvMg.efnItmCCYAjIrfZZZhBug4TNn2mUI_Gh7hiHSCTJZw0g.PNG/image.png?type=w80_blur|||https://postfiles.pstatic.net/MjAyNTEwMjJfMjA0/MDAxNzYxMDk2MDgyNTIy.hsVdEv1xFHea1KFBb19LB7d13P0PFwkUhdFrFsLCcW4g.bEKDP24edTxNUGnpUfuJha-pqdwexX3vEDzLJy467qgg.PNG/image.png?type=w80_blur|||https://postfiles.pstatic.net/MjAyNTEwMjJfMjY0/MDAxNzYxMDk3ODEzMzA4.GhxNC2P2t5l0idZxW1BFJjMqlkONBQXoOAWJ_eBbmbIg.bb9_VQMKvBwtcxoLa8Cv4BgKHU49dq_isAfMpPq_BkEg.PNG/image.png?type=w80_blur|||https://postfiles.pstatic.net/MjAyNTEwMjJfMjg5/MDAxNzYxMDk3ODE5ODIz.gdwCWkygdFsiGDTrUpLmwUKAKEbU4_02T9b1nUSaKlYg.-GWEc2txQV2Yx7pUMe3FmXdDIoTINtMwnAzmcx13hMUg.PNG/image.png?type=w80_blur|||https://postfiles.pstatic.net/MjAyNTEwMjJfOTEg/MDAxNzYxMTEwMTk2NjM5.a_BVqx2xFx9ShPzOYrKYyXCdakiEWBDuRjLkV5q67ZYg.jNa4D3WsH2wo4XWvKSonZVsTbSjYql0amFDZJOpVA_8g.PNG/image.png?type=w80_blur|||https://postfiles.pstatic.net/MjAyNTEwMjJfMzEg/MDAxNzYxMTEwNTQzMDc0.jUaLKoG2nqJ8pLRlQ6djxPIu65-4aLUQAIaEInRzYtwg.3Ijxla6OJfOHG0nCCWXYRWgkN-zHbmzhFju6TYnNSdUg.PNG/image.png?type=w80_blur|||https://postfiles.pstatic.net/MjAyNTEwMjJfNTQg/MDAxNzYxMTEwOTkyNTI0.2v63PTbwx6vU75oAvaSQ66ecbG7H28Y1NS87CBn1dKgg.7Gkeycnymznm-e7f6BW1bI8tjHzzuC0zgBFqNHtHMYog.PNG/image.png?type=w80_blur|||https://postfiles.pstatic.net/MjAyNTEwMjJfMjg5/MDAxNzYxMTEyMjc0MDA0.1MhhEswRSymRQAyedL-6drj8c_xuoar3D_gm5aFnJ8kg.q0yZLpBhOObqqrIVudNZS7tzrSn1q7FTZCWdLnPqP7Yg.PNG/image.png?type=w80_blur|||https://postfiles.pstatic.net/MjAyNTEwMjJfNSAg/MDAxNzYxMTEyNzc3NzU1.VKxw7kTSnBtq272acxIYe_aZcuxRnYkledd7t2CtEAwg.pC1BT61SOQDx9y4Ha3GbYAJOo9EhmItZlrEb21vl-tcg.PNG/image.png?type=w80_blur|||https://postfiles.pstatic.net/MjAyNTEwMjJfMjgz/MDAxNzYxMTE1MTY4MzI1.KZAclQeiTh_AAC7UuE1PpNZ_hfkMDGLsevDdJPAllRsg.tPgrZPyHyYnndPe8Y5reHykbyw4NwzMMMmQebD1EK3wg.PNG/image.png?type=w80_blur|||https://postfiles.pstatic.net/MjAyNTEwMjRfMTUy/MDAxNzYxMzEzNTA1NDE3.t9LxEdUWbhaOcIs9nfQJLEMygQLA5Px1Od3WHNlPPZwg.8wsFfzKztTpy96lAS3nKSyx_EK8af12FhZzYFQPHBGgg.PNG/image.png?type=w80_blur|||https://postfiles.pstatic.net/MjAyNTEwMjRfMjM2/MDAxNzYxMzEzNzg3NzE2.mkibPyvkvqMed81Ge9zcBGp7yPr26NDamGuVFVQ2O0wg.u9pSI9xbpq2slRr7DwasomSJu4TJdh9ALecXAIAPCZkg.PNG/image.png?type=w80_blur|||https://postfiles.pstatic.net/MjAyNTEwMjRfNDAg/MDAxNzYxMzE0MDg4NjIy.WhS-8M8eo-Rn5bAofSXSijdimUfRdONriPh1sjM5e-8g.tvObhK-C4TIot_MhiutQi2314Th5t1KQ1h6VMLm73agg.PNG/image.png?type=w80_blur|||https://postfiles.pstatic.net/MjAyNTEwMjRfMjE0/MDAxNzYxMzE0NjY5Mjkw.8vC4frOno1QzkiHbKkMQ34siGX0J899BLeidnlGKBAsg.iaz6p2vA2tMoMbNRFIjgkPtg3n7fY0GtnP3j_DDOkzgg.PNG/image.png?type=w80_blur|||https://postfiles.pstatic.net/MjAyNTEwMjRfMjY1/MDAxNzYxMzE0Njc4MzQx.xnOPZ1yNBPb1N0LdxajdU4NP7ktoGvMJIv1n1OnNtTog.fhPoECxkgnrJEzAEeIm3Jj4fHTOB3aknVj9_UNVzW8Mg.PNG/image.png?type=w80_blur|||https://postfiles.pstatic.net/MjAyNTEwMjRfMjgz/MDAxNzYxMzE1Mzg1NzA1.tbX--CHaYVqTQ0j_kt9MANcryceUFt5l_dD2iaDM73wg.w1xUY9cudaVTrBo-nwB-6y_5zUuPrGgmnfDRI9vi6nAg.PNG/image.png?type=w80_blur|||https://postfiles.pstatic.net/MjAyNTEwMjRfMTk3/MDAxNzYxMzE1NjI4NDY4.ik0aiqYsnsPn6mAdW3gu_UvgXoin02AAwygrksmCD8Qg.7Q_yHWbmV9jXxEYjCp4fJ6HTC5WLXFVufnaG_cNoTNYg.PNG/image.png?type=w80_blur|||https://postfiles.pstatic.net/MjAyNTEwMjZfMTA0/MDAxNzYxNDM3MjU5MjMw.1SRmlS3WvAyeu9TCS2HMrTJKP5zdWuUesQIzcv9oTW4g.RVO1v97p6sopRmpGFrDcI96-tZa55okTxk58ccaeXxYg.PNG/image.png?type=w80_blur|||https://postfiles.pstatic.net/MjAyNTEwMjZfMjU0/MDAxNzYxNDM3ODM3MzQ5.4g811NOHhbYr4_2ZupKMymM0V0Ac5a-mvC4_07phLoYg.c2YyJNqb2qCPLoPMZqrzzzj6_zgUPjqUjKSaQNOAFwIg.PNG/image.png?type=w80_blur|||https://postfiles.pstatic.net/MjAyNTEwMjZfMjEw/MDAxNzYxNDM3ODQ3NTY4.YJysyg3nKAdjqLIl4jxhyyOyLz31DPRLucFGfpsJ7PQg.Dn4m3z3vNLDOpXtJmvNHil524txPXNB4TQNH7GAK27Ug.PNG/image.png?type=w80_blur|||https://postfiles.pstatic.net/MjAyNTEwMjZfMjU1/MDAxNzYxNDQwNTkxNTU0.IN5p3C6Ssq1OHIbDAMs9ZfoLUhZc15pHV9HNL2JtQ70g.hZeFe0XW7XW4-aa_AyP-TjkG1kbyhQg_s9wZvl1JKaog.PNG/image.png?type=w80_blur|||https://postfiles.pstatic.net/MjAyNTEwMjBfMjM3/MDAxNzYwOTE0NzYzMDc0.ppP8B824-VoJjft3Qhfu-8dyZpqZb9Lz6CVQ4Zq0n9Mg.vsXNPvHjYfgehOb13nNHxJRtHpoVs3niY0HUMx5hwQUg.PNG/KakaoTalk_20250108_233527553.png?type=w80_blur</t>
  </si>
  <si>
    <t>과거</t>
  </si>
  <si>
    <t>용인 처인구 힐스테이트 마크밸리 분양가 공급조건 : 네이버 블로그</t>
  </si>
  <si>
    <t xml:space="preserve">커 뮤니티 시설 그리고 밀협동주택타운 내 최고 수준으로 조성이루어주 택니다. 피트니스센터, 실 내 골프연습장, 라이브러리, 스터디룸 은 물론, 인근에서 유일하 게 고품격 사우나 시설을 도입했 답니당.... </t>
  </si>
  <si>
    <t>blog.naver.com/dwhazlatr</t>
  </si>
  <si>
    <t>https://blog.naver.com/dwhazlatr/224062172894</t>
  </si>
  <si>
    <t>dwhazlatr</t>
  </si>
  <si>
    <t>용인 처인구 힐스테이트 마크밸리 분양가 공급조건
Next image
용인 처인구 힐스테이트 마크밸리 분양가 공급조건
용인 처인구 힐스테이트 마크밸리 분양가 공급조건
용인 처인구 힐스테이트 마크밸리 분양가 공급조건
대한민국 경제의 심
장이 될 용인 반도체 클
러스터 밀자택개발 방침이
구체화되면서, 투자 규
모와 파급 효율에 전 국민의
주목이 협력공동주택중요대대되고 자리
실합니다.
특별히 삼성전자가
360조 원을 투
자하는 첨단 시스템반도체 국가산단은
평택 고덕(120조)의 3배, S
K하이닉스 원삼(122조)의 약 3배에
달하는 압도적인 규모이랍니
닷~.
이 큰 조정의 최중
요요심에 힐스테이트
용인마크밸리가 독보적인 직주근접 수
혜 타운로 급부상하고 차지수행
연수행수행합니다.
프
로젝트지는 용인시 처
인구 남사읍 아곡리 70
5번지 일원으로, 360조 원 규모의 국
가산단과 불과해야 1
~2km(반경) 내에 지리한 초근
접 배후 주거지입니다.
밀자택밀자택밀자택단지는 지하
2층~지상 27층, 7개 동,
총 660공세대로 구성되며,
전용 84㎡, 109㎡ 등 중대
대형 평형과 펜트하
우스 타입을 선벌어집니다.
현대건설 힐스테이트의
브랜드 파워와 반도체 직주
근접 웃돈이 합되어 그 가치
가 극대화될 전망입니다.
밀집밀집밀
집지역는 19.98%의 낮은
건폐율을 이용하여 지상 여백의
80% 이상을 쾌적한
조흐름 부대시설로 채
웠답니다.
남향 위주의
배치로 일조권과 개방감을
확보했으며, 밀직밀집타운
중요요대앙에는 H-아이숲(실내
놀이터), 티하우스,
중요요대앙광장 등이 조성이루어지는데
요.
또한한한, 밀자택타운
곧 옆면으로 6개의 테마 공원과 남사 스
포츠센터가 입지해
있다지만 입주민들은 튼튼하고 여유로운
힐링 라이프를 만끽
할 수 자리실행실합니다.
내부 유닛
은 반도체 고급 인력의
라이프스타일에 맞춘 조
정 평면으로 설계이루어졌
답니다.
4Bay 판상
형 구조(일부)를 사용해 편의 면적을
극대화했으며, 넓은 드레스룸
과 주방 현관 창고, 알
파룸(일부) 등 특
화 현관 창고을 제공연합니다.
이는 용인 처인구 힐스테이트가 자랑하
는 고품격 주거 여백으로,
입주민에게 높은 수준의 시기살이활 만
족도를 선사할 것인데요.
커
뮤니티 시설 그리고 밀협동주택타운 내
최고 수준으로 조성이루어주
택니다.
피트니스센터, 실
내 골프연습장, 라이브러리, 스터디룸
은 물론, 인근에서 유일하
게 고품격 사우나 시설을 도입했
답니당.
그리고, 반
려동물을 위한 H-위드펫, 자녀를 위한
다함께 돌봄센터와
H-아이숲 등 모든 공
공공세대를 만족시키는 힐스테이트 용인
마크밸리만의 특화
시설을 완벽하게 겸행
실행했어요.
힐스테이트
용인마크밸리는 미래가치뿐
만 아니라 방금의 주거 서비스성
도 완벽실연행실합니다
.
이미 7,460세대
가 입주해 있다알리는 남사
아곡지구의 완성된 기반시설를 그
대로 누릴 수 있다알리는데요.
롯데프레시,
스타벅스, 병의원,
은행 등이 밀공동APT
한 중요요대심 상업
밀자택지역과 750m 스트리트몰 '
한숲애비뉴'를 도보로 활용 가능해 입주
즉시 편리한 당시살이활이 스타트가능실수
행합니다.
교육 환경
그리고 반도체 인재 양성에 최적화된
명품 학군을 자랑실수행연수행
실수행합니다.
2025년 3월 신규
로 추가 개교한 처인초등학교와
처인중요요학교가 도
보 5분 거리에 있기도하고
, 처인고등학교는 밀자택밀직
밀자택타운와 곧 붙어 있
다지만 12년간 안전한 도보 통학이 가능
실실수행합니다.
또한한, 남사도
서관과 학원가가 접해 있다지만
완벽한 원스톱 교육 환경을 제공실연실수
행합니다.
교통 호재는
반도체 클러스터의 규모만큼이나 압도적입니
다.
국지도 84호선(2026년
예정)을 통해 동탄2신도시 GTX-A 노
선과 생활살이활권을 10분대
로 공유하게 가능수행수행합니다.
또한한, 밀집밀집지역개발
지 인근 남사역(전략)
을 통해 경강선 연장(판교/강남 접근)
, 수도권 내륙선(동탄/
청주공항), 반도체선(동
탄/이천) 등 3개
의 핵심 철도 노선이 추진
되어 수도권 전역으
로의 이동이 자유로워APT니다.
평택 고덕 신도시가 팹 3기 가동만으
로 인구가 15만 명 증가
한 사례를 볼 때, 팹 10
기(삼성 6기, SK 4기)가 들어서
는 용인은 그 이상의 폭발적인 성장이
예상가능실합니다.
힐스테
이트 용인마크밸리는 이 방향한 직주근
접 수요를 제일 가까이에서 누릴 수 있다
알리는 하나뿐인 1군 브랜드
신축 밀협동주택밀직타운입니다.
3
60조 원의 삼성전자 국가산단
곧 앞, 7,460공세대의
완성형 기반시설, 또한 12
년 원스톱 학군까지, 모든 것을 갖춘
밀자택밀자택타운는
힐스테이트 용인마크밸리뿐이랍니
닷~.
여기에 1차 계약금 500만
원, 무한 전매 가능이
라는 파격적인 조건은
다시없을 기회입니당~.
평택의 3배, 원삼의 3
배에 달하는 압도적인 미래가
치를 제일 먼저 선점하시기 원실수
행연실수행수행합니다.
용인 반도체 클러스터의 역사는
이미 스타트되었습니다.
그 거대면한 조정의 막중대심
에서 압도적인 직주근접
시공세차익을 누릴 주인공을
찾고 자리실수행실실행합니다
.
현재 곧 샘플하우스에서 778
만㎡ 국가산단의 가치를 가장 가
까이에서 누릴 힐스테이트 용인마크밸리
를 만나보십시오.</t>
  </si>
  <si>
    <t>https://postfiles.pstatic.net/MjAyNTExMDJfMTUg/MDAxNzYyMDc5Mjc4NTU0.b7tTPO5LcKqKJKgZ958xUgY2nqoshtTM7NyTV62KKKsg.0NP6nV33VH1K52yl-zVHYz3zq0SYvDddBjlUu9PGcLgg.PNG/20251102192757378-.png?type=w80_blur|||https://blogfiles.pstatic.net/MjAyNTExMDJfMjIy/MDAxNzYyMDc5Mjk4OTIw.z7WjaUqzSBMSwt8mGOx0r0GNO64lrfO-q-zZx-wNDvIg.gGId5P_MJfEUkHGbJKPY718rU_Sd_N1cMo25_eLvDYsg.JPEG/1.jpg|||https://blogfiles.pstatic.net/MjAyNTExMDJfMTQ5/MDAxNzYyMDc5MzAzNjMw.EvBEnVVyQCLWdS4WU1W-H5vo35Amt0nrvFfW8ZI-0v4g.7Y6vvjXJQPIU5CRXvKm6Kf9yPE_AXlmMeJfITGMRy5Yg.JPEG/2.jpg|||https://blogfiles.pstatic.net/MjAyNTExMDJfMTA0/MDAxNzYyMDc5MzA3Njg0.smh3k4WozcoYkSu-yFyJJhTQUegS_QFdxZ2Gj7aVv6cg.rwtOXTiOMXosLQAvP9lT4MxTQNRUQe1ZtgAJ6nS3Wd8g.JPEG/3.jpg|||https://postfiles.pstatic.net/MjAyNTExMDJfMjA2/MDAxNzYyMDc5MzE4Nzky.H-KmWbd1phe8Z_nbArTiq0bF0Xf9_OlMdJFKxl6Z6cMg.nsVCesZyiSqEbaE2rb8GwCiGynPQV-pI9_vRT-xYZjUg.PNG/20251102192832211-.png?type=w80_blur|||https://postfiles.pstatic.net/MjAyNTExMDJfMTEx/MDAxNzYyMDc5MzIzMzA3.PB0QcM7zVY8t67ZPk7MvwqGAZOpSuUP_3UioFP6oeG8g.emyRiImUaloTA_wFLrIzsaa7fHLQP0sjJTuioe8Ng-4g.PNG/20251102192832271-.png?type=w80_blur|||https://postfiles.pstatic.net/MjAyNTExMDJfMjIz/MDAxNzYyMDc5MzIzNzk4.GWXMRoB1yHX5F3xFHCLQqQ_KpuC31f3EJArM1KsBWrEg.8Z6aipkvJSbDP5rWdsdhX2z6pQTYEZ_H_4kI7Z9ouvYg.PNG/20251102192832335-.png?type=w80_blur|||https://postfiles.pstatic.net/MjAyNTExMDJfMjMw/MDAxNzYyMDc5MzIzOTUw.1S7x74Qw-wl2sd2VzklwIz4iVnRy7NODDPTRHt3tZO4g.eYIy9KpYVmS9YH_X_CJ_dsgVQ3uhlWYurxhP6O2JGGgg.PNG/20251102192832399-.png?type=w80_blur|||https://postfiles.pstatic.net/MjAyNTExMDJfMTU5/MDAxNzYyMDc5MzI0MDg4.lOoszh7QdTdLZzWioRliODCTBbzPwo0zvT_Wpjhw7_gg.zTYF7vAma34sKdFVWUBk6RFa6IoY1TblWqspSVTYs48g.PNG/20251102192832462-.png?type=w80_blur|||https://postfiles.pstatic.net/MjAyNTExMDJfMTAy/MDAxNzYyMDc5MzIxODU2.X1w2M1MI_NtTwsJcEdn_YQkYPiiAlKmEDmKTMR9iuwMg.2OdTWSjibUz9-8H_eGmmxSEdaIC5A7TYLLW6FHUNWxgg.PNG/20251102192832524-.png?type=w80_blur</t>
  </si>
  <si>
    <t>용인힐스테이트마크밸리 모델하우스 VR vs 현.. : 네이버블로그</t>
  </si>
  <si>
    <t xml:space="preserve">커 뮤니티 시설이 밀공동APT단지 곳 순위에 배치되어 주거 흡족도를 향25시 킵니다. 공급 타입은... 밀자택밀집지 역 내 커뮤니티 시 설 '클럽 힐스'는 입 주민의 삶의 질을 한 차원 높여줍니다. 피트니스센터... </t>
  </si>
  <si>
    <t>blog.naver.com/yxqeastern</t>
  </si>
  <si>
    <t>https://blog.naver.com/yxqeastern/224062032310</t>
  </si>
  <si>
    <t>yxqeastern</t>
  </si>
  <si>
    <t>용인힐스테이트마크밸리 모델하우스 VR vs 현장 비교
Next image
용인힐스테이트마크밸리 모델하우스 VR vs 현장 비교
용인힐스테이트마크밸리 모델하우스 VR vs 현장 비교
용인힐스테이트마크밸리 모델하우스 VR vs 현장 비교
요공세 용인
시 처인구는 시기 최대 규모의 반도체 클
러스터 조성 구상이 가
시화되면서 남한 산업 지도의 중요요요
심축으로 떠오르고 차지실합니
다.
360조 원이 넘는 막향한
투자와 함께 교통 인프라 확충,
신규 주거 밀직타운 조성에 향한 기대감이
그 어느 때보다 높은 상황인데요
.
이 같은 흐름 속에서 남사
아곡지구의 완성형 기반시설를 누리는
신규 공급 밀집밀집타운
힐스테이트 용인마크밸리가
K-반도체 벨트의 핵심
배후 주거지로 큰 주목을 받
고 차지실연수행합니다.
본문에서는
해당 단지개발지의 부지적
강점과 물품성, 또 미래가치를 섬
공세히 분석해 보겠습니다.
타운타운개발지는 용인시 처인구
남사읍 아곡리 705번지 일
원에 자리하며, 지하 2층부터 지상 최고
27층, 7개 동, 총 660세대
규모로 조성가능수행수행합니다
.
법정 기준치(20%)보
다 작은 19.98%의 건폐율을 사용하
여 동 간 거리를 넉
넉하게 확보하고 지상 여백을 공원형으로
설계해 쾌적성을 극대화했는데요.
주차 여백 또 공공세대
당 1.57대에 달하는
1,035면을 확보하여 입주민의
주차 스트레스를
획기적으로 줄였습니다
.
남한 명품 주
거 브랜드 현대건설이 시공하는 힐스테이트
용인마크밸리는 신뢰와 시세차
익을 동시에 선사할 것인데요.
19.98%의 작은
건폐율은 풍부한 조경 면
적으로 이어져 밀자택
밀집밀집지역 행복한 복연합가
하나의 쾌적한 공
원처럼 느껴지도록 설계성중간루어졌답니다
.
남향 위주의 밀공동주택타운 배
치를 통해 채광과 통풍을
극대화했으며, 입주민의 휴식과 교류
를 위한 고품격 중요대대앙광장이 조
성가능한데요.
후 자녀들
을 위한 실내 놀이터 H-아이숲과 어른
들의 휴식을 위한 티하우스 등
힐스테이트만의 특화 조경 및 커
뮤니티 시설이 밀공동APT단지 곳
순위에 배치되어 주거
흡족도를 향25시
킵니다.
공급 타입은
국민평형 3개 타입 394공세대, 10
9㎡ 3개 타입 234공세대,
또한한 희소성 높은 펜트하우스
32공세대로 구성되어 수요자의
채택 폭을 넓혔습니
다.
주력 평형인 84㎡와
109㎡는 4Bay 판상형(일부) 구조와
조정적인 특화 설계를 활
용하셨는데요.
넓은 드레스룸과 팬트리, 알파룸(일부 타
입) 등 절실한 수납여
백을 제공하여 여백 적
용성을 극대화했으며,
최신 주거 트렌드를 사용한 고품
격 마감재로 격이 다
른 주거 공간을 완성실수행
연실수행연실수행합니다.
밀자택밀집지
역 내 커뮤니티 시
설 '클럽 힐스'는 입
주민의 삶의 질을 한 차원 높여줍니다.
피트니스센터, 골프연습장, 라이브러
리 등 밑바닥 시설은 물론, 용
인 한숲시티 내에도 없던 고품격 사우나
시설이 마련형성형성가능한
데요.
또한한한 반려동물과 함
께하는 입주민을 위한
펫 샤워룸 'H-
위드펫', 실내 어린아이 놀이
터 'H-아이숲' 등 최신 트렌드를 사용
한 힐스테이트만의 특화 커뮤니티
가 다채롭게 제공되어 원스톱 라이프를 서
비스실연실합니다.
이미 모든
것이 갖춰진 7,46
0세대 규모의 남사아곡지구(용인 한
숲시티) 내에 대상
지하여, 입주 즉시 완성된 생
활살이활 인프라를 누릴
수 부지실수행연수행합니다.
타운 인근에 롯데프레시,
한숲스퀘어 등 대형 상업밀집
단지이 활성화되어 있기도하지만, 병의원
, 은행 등 응대시설이 밀
자택해 있어요.
또
한 남사도서관, 남사 스포츠
센터, 한숲물방울공원을 비롯한
6개의 대형 공원 등 풍부한
문화 및 녹지 환경이 이미
조성되어 있다지만 편리하
고 쾌적한 생활살이활이 가능
수수행연실수행합니다.
밀공
동주택밀집지역 곧 앞에서는서는서는는는는서
는는 처인고등학교가 붙어
있다지만, 도보 5분 거리에 2025년
3월 신규로 추가 개교한 처인초등학교
와 처인중요요학교가 자리하여
완벽한 '원스톱 안심 학군'을 자랑
수행실행합니다.
자녀
들이 안전하게 걸어서 초·막중대대·고
교를 모두 통학할 수 있겠지만요.
뿐만 아니라 밀자택밀직타
운 앞 상업지구 내에는 다수의 학원가가
이미 형성되어 있기도하지만 남사도서관
까지 가까워, 용인 처인구 힐
스테이트 밀직타운 중요대 최상의
교육 환경을 제공연실행연실수
행연실수행합니다.
힐스테이트
용인마크밸리는 처인성로를 통해 용인 시
내 및 인근 산업밀공동주택밀집밀직지
역로의 접근이 용이연실수행수
행연합니다.
뒤 국
지도 84호선(동탄 중요대리~천리)이
2026년 개통되면
동탄2신도시까지의 접근성이 획
기적으로 개선될 전망
이예용~.
특별히 프로젝트지 인근
남사역(방침)으로 경강
선 연장(경기광주-남사), 수
도권 내륙선(동탄-청주
공항), 반도체선(동탄-부발) 등 3개
의 핵심 철도 노선이 추진되고 있
다지만 수도권 광역
교통의 허브로 거듭날 것이랍니닷~.
밀집밀집지역 인
근에는 삼성전자가 360조 원
을 투자하는 '첨단 시스템반도체
국가산업밀집밀집지역'가 조성 중요요입
니다.
이는 약 778
만㎡ 규모로, 150여 개의
반도체 기업과 팹 6기
가 들어서는 시기 최대
규쏠립니다.
2026년 상반기 첫
번째 팹(FAB1) 착공이 예정
되어 있다지만, 이와 연계된 용인테
크노밸리 등과 함께 막향한 직주근
접 수요를 창출하며 밀집타운
가치를 견인할 핵심 동력으로
작용할 전망입니다.
힐스테이트
용인마크밸리는 반도체 클러
스터의 미래가치와
이미 완성된 7,460세대 대밀직밀집타
운 인프라를 동시에 누
릴 수 있다알리는 독보적인 입
지를 선점했거든요.
우수한 학군과 쾌적한 주거
환경은 물론, 1차 계약금 50
0만 원 정액제와 무한 전
매 가능이라는 파격적인 금융
짱인점까지 제공하는데요.
입주 10년 차를
맞이하는 남사아곡지구
내 하나뿐인 신축 브랜드 대안으로서
, 실거주와 투자를 모두
만족시키는 최상의 채택이 될 것입니다.
시기 최대 반도체
허브의 비전과 초·중요대대
·고를 모두 품은 명품 교육
환경을 동시에 갖춘 단지입니다.
입주 즉시 누릴 수 있
다알리는 완성형 기반시설와 힐스테
이트의 브랜드 가치까
지 더해졌답니다.
모델하우스에 방문하시어 압도적인 개발지
조건과 제조품성을
직접 검사해 보시길 권장해 공급실연합
니다.
이상으로 K-반도체 벨트의
새로운 중대심, 힐스테이트 용인마크밸리
분석을 마칩니다.</t>
  </si>
  <si>
    <t>https://postfiles.pstatic.net/MjAyNTExMDJfMTMg/MDAxNzYyMDY4NjUwMzIx.0FKF20TIqGB6cu0GUmSwg62_qPefoUqnHKdQgUs6SoUg.y3j3yxKZAWuQqhYytAb6VO32MQVAhtOHzDLf8JnlyjIg.PNG/20251102163048661-.png?type=w966|||https://blogfiles.pstatic.net/MjAyNTExMDJfMjQ1/MDAxNzYyMDY4NjczNzk3.8P4yxkJNZPiQnvoZbVp6DHanUvrg1hzHxDlswi8dd0kg.qtmfnrUQ8Cz-mVZA2H1XUmMPpyZhzRnquKct36Go7_wg.JPEG/1.jpg|||https://blogfiles.pstatic.net/MjAyNTExMDJfMTc2/MDAxNzYyMDY4Njc4Mzgw.SbuL0fqQArmRBAqqbuwO7o76AaSz6wP17Z9u3lJQT8gg.AUp3Y-m6QEGCN1S5UGEaluZvc9WOce4pvxqgURomJa4g.JPEG/2.jpg|||https://blogfiles.pstatic.net/MjAyNTExMDJfMTk3/MDAxNzYyMDY4Njg0Mzcx.rbrzR2KX1PTYtP9io-DRnKzzpyESQcYe_XlBTsF7Dx8g.2SiZwhz6RO4KSfAsQIlrJ41Nv25P-G_6sheXhw0nW6Ag.JPEG/3.jpg|||https://postfiles.pstatic.net/MjAyNTExMDJfMTIy/MDAxNzYyMDY4NzAwMDgz.h22JVMwQ_v67l3CbPT5OEqUq81ohhODYb2rS_YYlekMg.0NsUO0GYQcRldHknEcsBHU2xtQ9Q-M4IZWU-xEkl4iMg.PNG/20251102163128536-.png?type=w80_blur|||https://postfiles.pstatic.net/MjAyNTExMDJfMjAz/MDAxNzYyMDY4NzAwMDg1.VcOYskPfF4rNR-fVHfljd2g3rcmrYwSr2N6c81eaIKYg.MbycJNAC1xn-MZfNXRbDw1RPUfjlOP-aO3qPaaN8tD8g.PNG/20251102163128604-.png?type=w80_blur|||https://postfiles.pstatic.net/MjAyNTExMDJfMjc2/MDAxNzYyMDY4Njk5NjEz.vU-T4ieCSAo5LOaKqePcNTNg74N457GY8TQHgq6I_g4g.d4L5mxD6AC0xy_sxUL8GAKN4BZSiWxGuNu1v-RsZrCIg.PNG/20251102163128667-.png?type=w80_blur|||https://postfiles.pstatic.net/MjAyNTExMDJfNzQg/MDAxNzYyMDY4Njk5ODcy.6CP8mmnt4p3haoTAqrVnFoGq1bamKOeJ_dBle8v0xvkg.00cPrg5jsqaJDol6Ig3fFBiNANcZ4VEGRY32kXMtuAsg.PNG/20251102163128725-.png?type=w80_blur|||https://postfiles.pstatic.net/MjAyNTExMDJfMTM3/MDAxNzYyMDY4NzAwMTc2.UwOFjDW7NHimdUGhJW2DcL_8xJA62QGUIHLytBtVGwMg.wgT55TVrm2XT4dgdRGppt7At6U_wt_HNZVTS1s68UBMg.PNG/20251102163128790-.png?type=w80_blur|||https://postfiles.pstatic.net/MjAyNTExMDJfMTE1/MDAxNzYyMDY4NzAwMTg5.lQI-yj8RpInDhZjj9ZA2qkc045m1TMikfFcO64HiDU0g.eQ8lTqsWIoqHy0i1RvMyjfCSU2TvVjTW5zEm__in7NUg.PNG/20251102163128854-.png?type=w80_blur</t>
  </si>
  <si>
    <t>용인 아파트 매매 협상 특약·하자 체크 포인트 : 네이버 블로그</t>
  </si>
  <si>
    <t xml:space="preserve">커뮤니티 시설이 밀집밀직지역 곳차례에 배치되어 주거 흡 족도를 높이랍니닷~. 공급 타입 은... 밀자택단지 내 커뮤니티 시설 '클럽 힐스'는 입주민의 삶의 질을 한 차원 높여줍니다 . 피트니스센터... </t>
  </si>
  <si>
    <t>blog.naver.com/exciting93y</t>
  </si>
  <si>
    <t>https://blog.naver.com/exciting93y/224062026226</t>
  </si>
  <si>
    <t>exciting93y</t>
  </si>
  <si>
    <t>용인 아파트 매매 협상 특약·하자 체크 포인트
Next image
용인 아파트 매매 협상 특약·하자 체크 포인트
용인 아파트 매매 협상 특약·하자 체크 포인트
용인 아파트 매매 협상 특약·하자 체크 포인트
요세 용인시
처인구는 시기 최대
규모의 반도체 클러스터 조성 방침
이 가시화되면서 남
한 산업 지도의 중요대대심축으로 떠오르
고 차지수행연수행실수행합니다.
3
60조 원이 넘는 막향한 투자와 함
께 교통 기반시설 확충
, 신규 주거 밀공동주
택밀직타운 조성에 향한 기대감이
그 어느 때보다 높은 형태입니
당~.
이 같은 흐름
속에서 남사아곡지구의 완성
형 인프라를 누리는 신
규 공급 밀협동협동주택
밀집타운 힐스테이트
용인마크밸리가 K-
반도체 벨트의 핵심 배후 주거
지로 큰 주목을 받고 자리수행연
실수수행합니다.
본문
에서는 해당 프로젝트지의 대
상지적 강점과 상품성, 또 미래가
치를 세밀히 분석해 보겠습니다.
개발지는 용인시 처인구 남사
읍 아곡리 705번지 일원에 자리하며
, 지하 2층부터 지상 최고 27층,
7개 동, 총 6
60세대 규모로 조성조성형성
이루어집니다.
법정 기준치(20
%)보다 낮은 19.9
8%의 건폐율을 사용하여 동 간
거리를 넉넉하게 확보하고 지상
여백을 공원형으로 설계해 쾌적성을 극
대화했는데요.
주차 여백
또 공공세대당 1.57대에 달하는 1,0
35면을 확보하여 입주민의 주차 스
트레스를 획기적으로 줄였습니다.
남한 명품 주거 브랜드 현대
건설이 시공하는 힐스
테이트 용인마크밸리는
신뢰와 웃돈을 동시에 선사할 것인데
요.
19.98%의 작은 건폐율
은 풍부한 조경 면적으로
이어져 밀APT밀직밀집지역 종
합가 하나의 쾌적한 공
원처럼 느껴지도록 방침이루어졌
어요.
남향 위주의 밀집타운
배치를 통해 채광과 통
풍을 극대화했으며,
입주민의 휴식과 교류를
위한 고품격 중요대앙광장이 조성이루
어지는데요.
특별히 자
녀들을 위한 실내 놀이터 H-아이숲과
어른들의 휴식을 위한 티하
우스 등 힐스테이트만의 특화 조경 및
커뮤니티 시설이 밀집밀직지역 곳차례에
배치되어 주거 흡
족도를 높이랍니닷~.
공급 타입
은 국민평형 3개 타
입 394공공세대, 109㎡ 3개
타입 234공공세대, 또한
희소성 높은 펜트하우스 32공세
대로 구성되어 수요자의 채택
폭을 확장했습니다.
주력 평형인 84㎡와 109㎡
는 4Bay 판상형(일
부) 구조와 조정적인 특화 설계를
사용하셨지만요.
넓은
드레스룸과 팬트리,
알파룸(일부 타입) 등 위향한
팬트리을 제공하여 여백 사용성을 극대
화했으며, 최신 주거 트렌드를 사용한 고
품격 마감재로 격이 다
른 주거 여백을 완성연
수행수행합니다.
밀자택단지 내 커뮤니티 시설
'클럽 힐스'는 입주민의 삶의 질을
한 차원 높여줍니다
.
피트니스센터, 골프연습장, 라이브
러리 등 기본 시설은 물론
, 용인 한숲시티 내에도 없던 고
품격 사우나 시설이 마련가능
한데요.
또한한한 반려동물과 함
께하는 입주민을 위한 펫 샤
워룸 'H-위드펫', 실내 어
린아이 놀이터 'H-아이숲' 등 최신
트렌드를 이용한 힐스테이트만의 특화 커
뮤니티가 다채롭게 제공
되어 원스톱 라이프를 편의수행실합니다
.
이미 모든 것이 갖춰진 7,
460세대 규모의 남사아곡지구(용인 한숲
시티) 내에 지리하
여, 입주 즉시 완성된 생활살이활살
이활 인프라를 누릴 수
부지실행수행실수행합니다.
밀자
택밀직지역 인근에 롯데프레시, 한숲스퀘어
등 대형 상업기반시설
이 활성화되어 있기도하지
만, 병의원, 은행 등 인프라이 밀자택
해 있다알리는데요.
또한
한 남사도서관, 남사 스포츠센터,
한숲물방울공원을 비롯한
6개의 대형 공원 등 풍부한 문화
및 녹지 환경이 이
미 조성되어 있다지만 편리하고
쾌적한 당시살이활살이활
이 가능실실행합니다.
밀협
동주택밀공동주택단지 곧 앞에
는서는서는는는서는는는는서는
서는 처인고등학교가 붙어 있다지
만, 도보 5분 거리에
2025년 3월 신규로
추가 개교한 처인초등학교와
처인중요요대학교가 대
상지하여 완벽한 '원
스톱 안심 학군'을 자
랑연수행연실행합니다.
자녀
들이 안전하게 걸어서 초·중요
대요·고교를 모두 통학할
수 보유하고있다지만요.
뿐만 아니라
밀협력주택단지 앞 상업지구 내에는 다
수의 학원가가 이미 형성
되어 있기도하고 남사도서관까지 가까워
, 용인 처인구 힐스테
이트 밀직타운 중요대 최상의 교육
환경을 제공수행연실실
수행합니다.
힐스테이
트 용인마크밸리는 처인성로를 통해 용인
시내 및 인근 산업밀
협력주택밀자택타운로의 접근이 용이실수행실
수행연실합니다.
뒤 국지도 84호
선(동탄 중요대요리~천리)
이 2026년 개통되면
동탄2신도시까지의 접근성이 획기적으로
개선될 전망입니당~.
사
후 프로젝트지 인근
남사역(전략)으로
경강선 연장(경기광주-남사), 수
도권 내륙선(동탄-청주공항), 반
도체선(동탄-부발) 등
3개의 핵심 철도 노선이
추진되고 있다지만 수도권 광역 교통의
허브로 거듭날 것이예용
~.
단지 인근에는 삼성전자
가 360조 원을 투자하는 '첨단 시
스템반도체 국가산업밀자택밀자택지역'가
조성 막진행중요인데요.
이는 약 7
78만㎡ 규모로, 150여 개
의 반도체 기업과 팹 6기가 들어서는
당시 최대 규쏠립니다.
2026년 상반기 첫
번째 팹(FAB1) 착공이 예정되어
있다지만, 이와 연계된 용인테크노밸리 등
과 함께 막향한 직주근접 수요를 창출하며
지역 가치를 견인할 핵심 동력
으로 작용할 전망인데요.
힐
스테이트 용인마크밸리는
반도체 클러스터의 미래가치와 이미
완성된 7,460공세대 대
단지 인프라를 동시에 누
릴 수 있다알리는 독보적인 입지를 선
점했답니당.
우수한 학군과 쾌적한
주거 환경은 물론, 1차
계약금 500만 원 정액제와 무한 전매
가능이라는 파격적인 금융 짱인
점까지 공급실실행하는데
요.
입주 10년 차를
맞이하는 남사아곡지구
내 하나뿐인 신축
브랜드 대안으로서, 실
거주와 투자를 모두 흡족시키는 최상의 채
택이 될 것입니당~.
시기 최
대 반도체 허브의 비
전과 초·중요대대·고를 모두 품은 명
품 교육 환경을 동시
에 갖춘 밀협동주택밀집타운인데요
.
입주 즉시 누릴
수 있다알리는 완성형 인프라와
힐스테이트의 브랜드 가치까지 더해졌
어요.
모델하우스에 방문하시어 압도적
인 부지 조건과 제조
품성을 직접 알아 보시길 권
장해 제공합니다.
이상
으로 K-반도체 벨트
의 새로운 생명, 힐스
테이트 용인마크밸리 분석을
마칩니다.</t>
  </si>
  <si>
    <t>https://postfiles.pstatic.net/MjAyNTExMDJfMjA3/MDAxNzYyMDY4MjE2NTU0.JfI9tBzpmlmJirtyMk8f3vWdJLIjK8NGvqauayng5sYg.POeCtcC3FT6CaCeybPrWrd_oRfYZ4iA8gheFJ46ioV8g.PNG/20251102162335178-.png?type=w966|||https://blogfiles.pstatic.net/MjAyNTExMDJfMzMg/MDAxNzYyMDY4MjM4NjA1.2JWBkQx2cfjsiBLA8IauIvAEWPxrrnD2wSUaXao1Zy8g.9SJRgjebViyHbVcPy2wRbKxTzsoSI2-KHcmnSOpvwe4g.JPEG/1.jpg|||https://blogfiles.pstatic.net/MjAyNTExMDJfMTc1/MDAxNzYyMDY4MjQ0Mjcx.Bu7V6yi-XOHTXis3IU-PKl4JAN8hU-JJkTgGdbuSAGMg._28Ujq7wF07V6uO7fgH1pfdlu31NBySGSz-0roYtjTYg.JPEG/2.jpg|||https://blogfiles.pstatic.net/MjAyNTExMDJfMTU5/MDAxNzYyMDY4MjQ4NDg4.Puw7DyXSG_HFBaXdu341D6Y20lFAaUK0fI4r-rZ1zoUg.uW9mvjadYPVbYMB_zufS7aPHztT7KDjCSDsssdtJAiAg.JPEG/3.jpg|||https://postfiles.pstatic.net/MjAyNTExMDJfMjMz/MDAxNzYyMDY4MjYzNzkw.G6GKCH3xXq5WYX21ib7a5MFdsR12FOoa2riLnIYjBsYg.PBCvx5wt4x3CtHbUjd6Pr2yKSXODdxYxGoScDvolJH0g.PNG/20251102162412573-.png?type=w80_blur|||https://postfiles.pstatic.net/MjAyNTExMDJfMTQ4/MDAxNzYyMDY4MjYyMjg1.vp4un3avxiPGdTRcGlv4DEfZVv5ZNJUR4D_n5J1-VFog.ZfAPjIIUpEl2xclzmXegUdfrIWLDkjZ_sP4F57i70e0g.PNG/20251102162412636-.png?type=w80_blur|||https://postfiles.pstatic.net/MjAyNTExMDJfMTEg/MDAxNzYyMDY4MjYzMDEw.hz3yNoJ0brCLaMulGrbQNKXNzxYhICFX6Yjk0Q8KwjAg.0NwzxYaKN3OdaLZYSdY89RB6vM1tOS2SIdvwukE06gcg.PNG/20251102162412699-.png?type=w80_blur|||https://postfiles.pstatic.net/MjAyNTExMDJfMTEy/MDAxNzYyMDY4MjYzNDg3.MDh-kfgMrQfIJXPoShpLzwVCEUfmn_O2b_xvryAxoDQg.9Czwk7aFJ-9ngeU1hBlir_QpL_BwXWiGg_NrAK_iTUIg.PNG/20251102162412763-.png?type=w80_blur|||https://postfiles.pstatic.net/MjAyNTExMDJfMjMw/MDAxNzYyMDY4MjYzNTE3.w9i5xGn8SbHuAmrL2hzHwYUVVDuHfp_iXhG7GiuiUOcg.XvMGRkvLHlxpqzWXnofpbemidXAb_UprdJB0pg605Lkg.PNG/20251102162412823-.png?type=w80_blur|||https://postfiles.pstatic.net/MjAyNTExMDJfMjc1/MDAxNzYyMDY4MjYzMzI0.bQ9bmq8r_EzSwl9dptgBEE_YGD_IRy7AvCN44zDLlzsg.BWmfsoJrYsWWZfGdha_XGFyNxptOF6reP4ab4OfEujgg.PNG/20251102162412886-.png?type=w80_blur</t>
  </si>
  <si>
    <t>용인마크밸리 줍줍 경쟁률 예측 지표 5가지 : 네이버 블로그</t>
  </si>
  <si>
    <t xml:space="preserve">입주민 전용 커 뮤니티 '클럽 힐스'는 힐스테이트의 자부 심을 상징연실수행합니다. 피트니스센터, 실내 골프연습 장, 라이브러리, 스터디 룸은 밑바닥이며, 인근에서는 찾아 볼 수 없던 웃돈 사우나 시설까지... </t>
  </si>
  <si>
    <t>blog.naver.com/pamdqrq95019</t>
  </si>
  <si>
    <t>https://blog.naver.com/pamdqrq95019/224061770439</t>
  </si>
  <si>
    <t>pamdqrq95019</t>
  </si>
  <si>
    <t>용인마크밸리 줍줍 경쟁률 예측 지표 5가지
Next image
용인마크밸리 줍줍 경쟁률 예측 지표 5가지
용인마크밸리 줍줍 경쟁률 예측 지표 5가지
용인마크밸리 줍줍 경쟁률 예측 지표 5가지
연대공동주택 브랜드
가 곧 주거의 가치와 자
부심이 되는 당시입니다.
동일한 부지라도 어떤 브랜드가
짓느냐에 따라 시공세와 선호도
가 대대대부분 달라지기 이유입니다
.
대면한민국을 대표하는
주거 명가 현대건설이
용인 반도체 클러스터의 핵심 배
후지, 남사아곡지구에 힐스테이트
용인마크밸리를 선조사가능연합니다.
7
,460공세대 완성형 도시의 기
반시설와 압도적인
힐스테이트의 브랜드 파워를
동시에 누릴 특이한
호재입니다.
타운개발지는 용인시
처인구 남사읍 아곡리 705번지
일원, 총 660세대 규모로 진입실합니다
.
지하 2층부터 지상 27
층, 7개 동으로 구성되고, 전용 84㎡
, 109㎡의 선호도
높은 중요대대대형 평형과 희소성
있다말하시는 펜트하우
스 타입을 제공행연합니다
.
특별히 힐스테이트
용인마크밸리는 19.98%
라는 압도적으로 낮은 건폐
율로 밀자택밀집밀집
지역 쾌적성을 극대화했으며,
이는 요즈음 분양 밀집밀
APT타운들과 비교하여도 독보적인 수준
입니당~.
낮은 건폐율로 확보된 지
상 여백은 입주민을 위한 공
원형 조경으로 가득 메워자
택니다.
차가 없는 안전한
밀공동APT밀공동주택타운에는 중요
앙광장과 티하우스, 자녀
들을 위한 실내 놀이터 H-아이숲 등
이 조성가능수행합니다.
또한
한, 공세대당 1.
57대에 달하는 위대한 주차 공간
을 모두 지하화하여 지상의 쾌적함과
주차 편의성을 동시에 포착
했답니당.
이는 용인 처인구 힐스
테이트만의 차별화된 주거 철학을 제안실실
행합니다.
실내 평면 또 브
랜드 가치에 걸맞은 조정 설
계를 사용실실행실치렀어요
.
전용 84㎡와 109㎡ 타입
은 4Bay 맞통풍(일부)
구조를 채택해 채광
과 환기 작용성을 극대화했습니다.
또한한, 넓은 드레스룸과 다용도
현관 창고, 일부 세대 알
파룸까지 제공하여 수납여백
을 넉넉하게 확보하셨는데요.
같은
평형이라도 더 넓고 효과적으로
적용할 수 있다알리는
힐스테이트만의 특화 설계가 돋검토
가능합니다.
입주민 전용 커
뮤니티 '클럽 힐스'는 힐스테이트의 자부
심을 상징연실수행합니다.
피트니스센터, 실내 골프연습
장, 라이브러리, 스터디
룸은 밑바닥이며, 인근에서는 찾아
볼 수 없던 웃돈
사우나 시설까지 확보조성가능합니다.
여기에 H-위드펫(펫 샤워
룸), H-아이숲, 다함께 돌봄
센터 등 모든 세대를 아우르는 특화 시
설로 입주민의 삶의 질을
한 단계 격25시킵니다.
밀
자택타운는 이미 모든 인프라가 갖춰진 7
,460세대 규모의 남사아곡지구 중요요
요심에 자리행합니다.
롯데프레시, 스타벅스, 다이소,
병의원 등이 밀공동협력주택한 중요대대심
상업밀집단지과 750m 스트리트몰
'한숲애비뉴'를 도보로
활용할 수 자리수행실
수행행합니다.
또
한한한, 수영장을
갖춘 남사 스포츠센터와 남사도서관, 6
개의 대형 공원 등 풍부한 기반시설
을 입주 즉시 누릴 수 차지연합니다
.
교육 환경 또한 힐스
테이트의 명성에 걸맞
은 '원스톱 안심 통학권'을 자랑연실수
행실행합니다.
처인고등학
교가 밀APT밀집단지와 곧 붙어 있다
지만, 2025년 3월 신규로 추가
개교한 처인초등학교와 처인중요
요대학교도 도보 5분 거리에 자
리실행수행수행합니다.
자녀
가 12년 동안 안전하
게 도보 통학이 가능하
며, '농어촌 특별전형
' 짱인점(조건부)까지 기
대할 수 있다지만 최고의 교
육 환경을 제공실합니다.
용인 처인구는 삼성전자의 360조
원 투자로 시기 최대 반도체 클러
스터의 중대대심지로 거듭나고 차지연
행수행합니다.
힐스테이트 용인마크밸리는 이 큼직한 미래
가치의 최단 거리에
지리한 직주근접 밀APT타운입니
다.
또한한한, 국
지도 84호선(2026년 예정)을
통해 동탄2신도시
와 10분대로 상관성성성성성되고, 남사역
(방침)을 통해 3개의
광역 철도망(경강선, 반
도체선, 내륙선)까지 누리
게 될 전망인데요.
최근 발표된
협력APT 하자 건수 통계에
서 겨루기사는 상위권에 불명예스럽게 이름
을 올린 반면, 현대건설은 압도적인
시공 능력과 품질
관리로 그 명성을 재조사했답니당.
힐스테이트 용인마크밸리는 베스
트 APT 브랜드 1위에 빛
나는 힐스테이트의 공학력과 신
뢰를 바탕으로 지어지는 명품 주거 밀
공동주택밀집타운이랍니
닷~.
여기에 1차 계약금
500만 원, 무한 전매 가능
이라는 특별한 조건까
지 더해져 더욱 매력적인데요.
반도체 클러스터의 빛나는 미래가치
, 7,460공세대의 완성된
인프라, 그리고 남한 1등 브랜드
힐스테이트의 자부심까지 모
든 것을 누릴 수 차지합니다.
입주 10년 차를 맞이한 남
사아곡지구에서 모두가 기다려온 하나
뿐인 신축 브랜드 공동주택입니다
.
방금 곧 전시주택에서
힐스테이트 용인마크밸리의 압도적인 품질과
가치를 직접 경험해 보그때
꿈연수행연수행합니다.</t>
  </si>
  <si>
    <t>https://postfiles.pstatic.net/MjAyNTExMDJfMTM2/MDAxNzYyMDQ2NjIyNTA3.SLkU2fjgoEgDqlAW5EpuZFRfS3FEyyE3IRYU6PF6aY0g.gGe5G7A0hT4qRFhsMUd_6aZm6mR6RgPOAFnG7G9Iwf0g.PNG/20251102102340758-.png?type=w80_blur|||https://blogfiles.pstatic.net/MjAyNTExMDJfODgg/MDAxNzYyMDQ2NjQzNTUx.fffKcX6b22Mlotkyw4iE9N0eNlo-UXUivh3t8bsoW4kg.T-b-WDhCSUfa-4uJx_qJfthlpNfMJdwcdGO2i3nhPfUg.JPEG/1.jpg|||https://blogfiles.pstatic.net/MjAyNTExMDJfMTQ3/MDAxNzYyMDQ2NjQ4Mzk0.9N9sfay3e9DYNi5cTNIk7Y5_Sk6LLNWIIrCsAgQtgTQg.jab7WczgaSglsA1kkCIbpLJvpDhHcIPOZzIZbi6keKQg.JPEG/2.jpg|||https://blogfiles.pstatic.net/MjAyNTExMDJfMjQ0/MDAxNzYyMDQ2NjUyNTAw.9XJpcnK0KhedNNJEM3zoUrA2kYa-D7n40XljDG03_0Ag.VbIi3pK64dWnOSQACMWYgDrRDE0sTxI-YB4ht4k8Uc4g.JPEG/3.jpg|||https://postfiles.pstatic.net/MjAyNTExMDJfMTA1/MDAxNzYyMDQ2NjYzMjU1.9CEQc2o2a61WRvUikJHZVtKhE7Y3GmzBr37lCd4kdt4g.z3WaCx-nPTQl2Lv9qKBnZRea8nXR1SzU7lnDPjLr1zEg.PNG/20251102102415824-.png?type=w80_blur|||https://postfiles.pstatic.net/MjAyNTExMDJfMTU1/MDAxNzYyMDQ2NjY0OTQw.R-rDeMWW39Dyt0jX545S58oJd-PaSWZ0gX2fHrCDTQMg.JZq9qkmtJJ-nv5jeZ-_G5G5tkmD4rgGr94RD1TTMXEcg.PNG/20251102102415871-.png?type=w80_blur|||https://postfiles.pstatic.net/MjAyNTExMDJfMjE0/MDAxNzYyMDQ2NjY1MDMy._nFwV5GjcYx0-UMaD9Wim6c6tIwgdu-9eobV0_O37hwg.P_eQLiNp8S8AwntHtYwZO-DrBABbXcdAcedbrg3k1JMg.PNG/20251102102415920-.png?type=w80_blur|||https://postfiles.pstatic.net/MjAyNTExMDJfMjUx/MDAxNzYyMDQ2NjY0ODI5.X5LQXi19sxdo6kxyTOpS61soM3i3_FPqdxPRV0ODUDcg.fzPdy0GrBc-xjqdFf9lx3oVRr5p4IFkvg5l60Jl34Twg.PNG/20251102102415966-.png?type=w80_blur|||https://postfiles.pstatic.net/MjAyNTExMDJfNTUg/MDAxNzYyMDQ2NjY0ODg4.TI-4Oy_kkb3vrYJnYtPrB9TZDSns30FH5c4aUuRMvAsg.LvOTTFwd6x0Px6d6IBHorRq5iCuH2ExXotzDL7ieUoYg.PNG/20251102102416014-.png?type=w80_blur|||https://postfiles.pstatic.net/MjAyNTExMDJfNzkg/MDAxNzYyMDQ2NjY0ODQ5.rk9EQ43mYsAKEn_RF7gULPCcDlhyGBYSSquxF8oBk5og.bL3uucRIvw063v6X28NzbopmD9PyyK7QC1Nsi6skhCwg.PNG/20251102102416061-.png?type=w80_blur</t>
  </si>
  <si>
    <t>경기도아파트분양 자금계획표 템플릿 제공 : 네이버 블로그</t>
  </si>
  <si>
    <t xml:space="preserve">입주민 전용 커 뮤니티 '클럽 힐스'는 힐스 테이트의 자부심을 상징연실합니다 . 피트니스센터, 실내 골프연습 장, 라이브러리, 스터디 룸은 기본이며, 인근에 서는 찾아볼 수 없던 시세차익 사우나 시설까지... </t>
  </si>
  <si>
    <t>blog.naver.com/jxjcffdcq</t>
  </si>
  <si>
    <t>https://blog.naver.com/jxjcffdcq/224061764940</t>
  </si>
  <si>
    <t>jxjcffdcq</t>
  </si>
  <si>
    <t>경기도아파트분양 자금계획표 템플릿 제공
Next image
경기도아파트분양 자금계획표 템플릿 제공
경기도아파트분양 자금계획표 템플릿 제공
경기도아파트분양 자금계획표 템플릿 제공
APT 브랜드가 곧 주거
의 가치와 자부심이 되는 시기입니
다.
동일한 입지라도
어떤 브랜드가 짓느냐에 따라
시공공세와 선호도
가 대대대대대대게 달라지기 때문입니다.
남한을 대표하는 주거 명가 현
대건설이 용인 반도체 클러스
터의 핵심 배후지, 남사아곡
지구에 힐스테이트 용인마크밸리를
선간주가능연실합니다
.
7,460공공세대 완성형
도시의 기반시설와 압도적인
힐스테이트의 브랜드 파워를 동
시에 누릴 특이한 기회입니다.
프로젝트지는 용인시
처인구 남사읍 아곡리 705번지
일원, 총 660공공세대 규
모로 진입실수행합니다.
지하 2층부터
지상 27층, 7개 동으로 구성되고,
전용 84㎡, 109㎡의 선호도 높
은 중요대대대형 평형과 희소성 있다알리
는 펜트하우스 타입을
제공수행연합니다.
특별
히 힐스테이트 용인마크밸리는 19
.98%라는 압도적으로 작은
건폐율로 밀집지역 쾌적성을 극대화했으
며, 이는 최근 분양 밀직지역
들과 비교하여도 독보적인 수준입니
다.
작은 건폐율
로 확보된 지상 여백은 입
주민을 위한 공원형 조경
으로 가득 채워자택니다.
차가 없는
안전한 밀주택밀집단지에
는 중대대앙광장과 티하우스, 자녀들을
위한 실내 놀이터 H-아이숲 등이 조성형
성형성가능합니다.
또한한한, 공세대당 1.57대
에 달하는 절실한 주차
여백을 모두 지하
화하여 지상의 쾌적함과 주
차 서비스성을 동시에 확
보행했어요.
이는 용인 처인구 힐스테
이트만의 차별화된 주거 철학을 제안실수
행합니다.
실내 평면 그리고 브랜
드 가치에 걸맞은 조정
설계를 사용했었는데요
.
전용 84㎡와 1
09㎡ 타입은 4Bay 맞통
풍(일부) 구조를 채택해 채
광과 환기 작용성을 극대화실행
실했어요.
또한한한, 넓은
드레스룸과 다용도 현관 창고, 일부
공세대 알파룸까지 제공하여 팬트리을
넉넉하게 확보하셨지만요.
같은 평형이라도 더 넓고 성과
적으로 사용할 수 있다알리는 힐스테이
트만의 특화 설계가 돋간주가
능합니다.
입주민 전용 커
뮤니티 '클럽 힐스'는 힐스
테이트의 자부심을 상징연실합니다
.
피트니스센터, 실내 골프연습
장, 라이브러리, 스터디
룸은 기본이며, 인근에
서는 찾아볼 수 없던 시세차익 사우나
시설까지 제공가능연실연실
수행합니다.
여기에
H-위드펫(펫 샤워룸), H-
아이숲, 다함께 돌봄센터 등 모든 공세
대를 아우르는 특화 시설
로 입주민의 삶의 질을 한 단계 격2
5시킵니다.
밀직밀직단지는 이미 모
든 기반시설가 갖춰진 7,460
공세대 규모의 남사아곡지구 중요대요심
에 부지실연합니다.
롯데프레시, 스타벅스,
다이소, 병의원 등이
밀자택한 중요요요심 상
업인프라과 750m 스트리트몰 '
한숲애비뉴'를 도보로
활용할 수 차지실수행합니다.
그리고한한, 수영장을 갖춘 남사 스
포츠센터와 남사도서관, 6개의 대
형 공원 등 풍부한 인프라을 입주 즉시
누릴 수 지리실실수행수행합니다.
교육 환경 또 힐스테이트
의 명성에 걸맞은 '원스톱
학세권'을 자랑실수행합니
다.
처인고등학교가 밀자택단
지와 곧 붙어 있기도하지만
, 2025년 3월 신규로 추가 개
교한 처인초등학교와 처인중대요요학교도
도보 5분 거리에 입지실수행
실수행합니다.
자녀가 12년 동안
안전하게 도보 통학이 가능하
며, '농어촌 특별전형' 짱인
점(조건부)까지 기
대할 수 있다지만
최고의 교육 환경을 제공연
실수행연실실수행합니다.
용인 처인구는 삼성전자의 360조 원
투자로 시기 최대 반도체 클
러스터의 중요요요심지
로 거듭나고 차지수행실합
니다.
힐스테이트 용인마크
밸리는 이 중요요향한
미래가치의 최단 거리에 지리한
직주근접 밀APT밀APT단지인데
요.
그리고한한, 국지도
84호선(2026년 예정
)을 통해 동탄2신도시와 10분대
로 상관성성성되고, 남사역(전략)을 통해
3개의 광역 철도망(경강
선, 반도체선, 내륙선)까지
누리게 될 전망인데요.
최근 발표된 협동공동주택
하자 건수 통계에서 겨
루기함력사는 상위권에 불명예스
럽게 이름을 올린 반면, 현대건설은
압도적인 시공 능력과 품질 관리로 그
명성을 재검사했었
답니다.
힐스테이트 용인마크밸리는
베스트 협동협동주택 브랜
드 1위에 빛나는 힐스테이트
의 기술력과 신뢰를 바탕으로 지
어지는 명품 주거 밀협력협력주택타
운입니당~.
여기에 1차
계약금 500만 원, 무한 전매
가능이라는 특이한
조건까지 더해져 더욱 매력적이예용~
.
반도체 클러스터의 빛나는 미래
가치, 7,460공
세대의 완성된 기반시설, 그리고
한 남한 1등 브랜드 힐스테
이트의 자부심까지 모든 것을 누릴 수
자리실실실수행합니다
.
입주 10년 차를
맞이한 남사아곡지구에서 모두가
기다려온 하나뿐인 신축 브랜드
공동주택이랍니닷~.
방금 곧 전시
주택에서 힐스테이트 용인마크밸
리의 압도적인 품질과 가치를 직접 경
험해 보그때 꿈행합니
다.</t>
  </si>
  <si>
    <t>https://postfiles.pstatic.net/MjAyNTExMDJfMjMy/MDAxNzYyMDQ2MDg3NjQx.o_ikZME57caxwIEwQ9helAp-L70qHO39l0c0rxh6Zc4g.Dl5yFsDNf3W-SgcwX_Zop48QOMi4QazKqAlob5lwUhsg.PNG/20251102101445981-.png?type=w966|||https://blogfiles.pstatic.net/MjAyNTExMDJfMTU1/MDAxNzYyMDQ2MTA4OTI1.SAjL8MZ0p68l8HmZH946y9DAYpaFgnL428txYohTSjgg.d1oG2bPcSk6dK0z029yXXGZz7itZ3rq3SA0VgqgnJLgg.JPEG/1.jpg|||https://blogfiles.pstatic.net/MjAyNTExMDJfMTk2/MDAxNzYyMDQ2MTEzMTA4.7i4NG62Xv7S4UgOzA_omVvFK9MLjKrTcysDROdE3ox4g.Qtke5Mmtq_S6M7IKmu57heO7fKTYiCJXLJR7i8VX5Pgg.JPEG/2.jpg|||https://blogfiles.pstatic.net/MjAyNTExMDJfMTEx/MDAxNzYyMDQ2MTE3MDAx.On79YFTlqpzLoHTRLbueO8-pd5kv9qWbjMDBHSXgRjwg.gceAE4MJ11XqXiviXHxw5HsgsvUIb1DIdstlDRBXrvEg.JPEG/3.jpg|||https://postfiles.pstatic.net/MjAyNTExMDJfNDQg/MDAxNzYyMDQ2MTI3ODk2.GKRXN8y7MF9E1IUuCJAcn8pqPjKLgjF5orqEekfyhtog.o3r4E97sfSPztZXLcjFie5UusL2MFyDxcGPDfMfZ7jYg.PNG/20251102101520461-.png?type=w80_blur|||https://postfiles.pstatic.net/MjAyNTExMDJfMTY3/MDAxNzYyMDQ2MTI5MzU3.dQNBXwgwEoF8iTjeL2iEPi_1mzy7QydZvHHDW4rv8U0g.oVcePvepdJfElQCApqnaxR6MKmVBMp9ZiXjXfWxcVpMg.PNG/20251102101520508-.png?type=w80_blur|||https://postfiles.pstatic.net/MjAyNTExMDJfMTg2/MDAxNzYyMDQ2MTI5NzEx.-rv439gT3pXP9guqTHQWTsQoBBYO0RHX7O-p1CJGM2kg.qs2tgN9IzCmlgel2JwbDghSmojqlGCKTNgAVXr8899sg.PNG/20251102101520555-.png?type=w80_blur|||https://postfiles.pstatic.net/MjAyNTExMDJfMTcw/MDAxNzYyMDQ2MTI5Njk0.VXcQEr4ZucqhJLS6oG0JQUiopQ_1ZU9cwfOUYNk5clUg._2K58THA5gdPIlZggM4QLXo7dMzq4XJlWbDoBovNrRIg.PNG/20251102101520602-.png?type=w80_blur|||https://postfiles.pstatic.net/MjAyNTExMDJfMjYg/MDAxNzYyMDQ2MTI5NTM4.kgMyDzNkSp6U6fixpS9OepwEDLKAa7nSIq6f0zd4u1gg.rmy4sdfk49RHxaH-g55OWGvQ_Oh42TH_V86bejZyvEkg.PNG/20251102101520649-.png?type=w80_blur|||https://postfiles.pstatic.net/MjAyNTExMDJfMjQ5/MDAxNzYyMDQ2MTI5NTgx.AhxIBXvCBCq7ityjhKit58BlRmc1MyadW8rxWBVHfQog.9LpAYO-ljYYSi7nv9s1Hz-aGKJ1BXmUtLALFXUY_o4Ig.PNG/20251102101520696-.png?type=w80_blur</t>
  </si>
  <si>
    <t>어반클래식이 예약 중복 없이 공간을 관리하는 .. : 네이버블로그</t>
  </si>
  <si>
    <t xml:space="preserve">그 해답은 어반클래식이 직접 설계한 운영시트 시스템과 공간운영자 네트워크 공사사 커뮤니티에... 중복이나 오버부킹이 생기더라도 문제없이 해결하는 ‘공사사 커뮤니티’ 물론, 시스템이 완벽해도 간혹... </t>
  </si>
  <si>
    <t>blog.naver.com/kdi0801</t>
  </si>
  <si>
    <t>https://blog.naver.com/kdi0801/224054614271</t>
  </si>
  <si>
    <t>kdi0801</t>
  </si>
  <si>
    <t>— 여러 플랫폼을 동시에 운영하면서도 ‘오버부킹 제로’를 실현한 시스템
공간대여업을 운영하다 보면 가장 큰 고민 중 하나가 바로 예약 중복 문제입니다.
특히 여러 플랫폼을 동시에 활용하는 경우라면,
이 문제는 운영의 효율성을 무너뜨리는 핵심 리스크가 되죠.
그런데 놀랍게도,
전국 60개 이상의 공간을 운영 중인 어반클래식은
네이버·스페이스클라우드·여기어때·자사몰까지
모든 플랫폼을 동시에 운영하면서도 오버부킹(중복예약) 없이
안정적으로 시스템을 유지하고 있습니다.
어떻게 가능할까요?
그 해답은 어반클래식이 직접 설계한 운영시트 시스템과
공간운영자 네트워크 공사사 커뮤니티에 있습니다.
1. 왜 대부분의 공간에서 중복예약이 발생할까?
일반적으로 공간대여업 운영자는
다양한 플랫폼에서 예약을 받습니다.
네이버 예약
스페이스클라우드
여기어때
카카오맵
인스타그램 DM 문의
이 플랫폼들은 각각 장점이 있습니다.
고객층도 다르고, 노출 방식도 다르죠.
하지만 문제는 —
각 플랫폼의 예약 데이터가 서로 연결되어 있지 않다는 것.
즉,
한 고객이 네이버에서 2시~4시를 예약하는 동시에
다른 고객이 스페이스클라우드에서 같은 시간대를 결제하면
운영자 입장에서는 두 예약 모두 ‘완료’로 표시됩니다.
그 결과,
두 명 모두 현장에 도착
한쪽은 입실 불가
운영자는 환불, 사과, 리뷰 리스크까지
이렇게 단 한 번의 중복예약이
공간의 신뢰를 크게 떨어뜨리게 됩니다.
2. 어반클래식의 해법 — 어반클래식 ‘운영시트 시스템’
어반클래식은 이 문제를 외부 솔루션이 아닌 자체 시스템으로 풀었습니다.
바로,
통합 예약 관리 구조입니다.
이 시스템은
네이버, 스페이스클라우드, 여기어때, 자체 홈페이지, 오프라인 예약 등
모든 채널의 예약 내역을 바로바로 기입하여 한눈에 예약을 확인하는 시스템입니다.
3. 중복이나 오버부킹이 생기더라도 문제없이 해결하는 ‘공사사 커뮤니티’
물론, 시스템이 완벽해도
간혹 긴급 예약이나 외부 요청으로 인해
시간이 겹치는 상황이 생길 때가 있습니다.
하지만 어반클래식은 그런 경우에도
고객의 불편을 최소화하는
공간으로 사업하는 사람들 이라는 ‘공사사 커뮤니티(공간사업자 네트워크)’를 운영 중입니다.
https://cafe.naver.com/flutemusicstore
공사사 [공간으로 사업하는 사람들] ... : 네이버 카페
파티룸 에어비엔비 스터디카페 공유오피스 연습실 렌탈스튜디오 고시원 호스텔 삼삼엠투 단기임대 공간대여
cafe.naver.com
이 커뮤니티는
공간을 운영하고 공간에 대한 관심이 있는 사람들이 함께하는 커뮤니티로
파티룸, 에어비앤비, 스터디카페, 공유오피스, 연습실, 단기임대, 스튜디오 등등 공간창업에 관심있는 사람들이 모인 커뮤니티입니다.
이 커뮤니티에서 운영하는 시스템 중 하나는
중복예약이 발생했을 때
인근 유사 공간으로 고객을 빠르게 연결
예약 이관 시 점주는 소정의 수수료(커미션)*를 받고
고객은 동일 조건으로 다른 공간을 이용
이런 구조 덕분에,
하나의 예약 손실이 다른 공간의 매출 기회로 전환됩니다.
즉,
오버부킹이 발생하더라도 ‘누구도 손해 보지 않는 구조’가 만들어진 것입니다.
4. 고객 입장에서는 “예약이 안 겹치는 브랜드”로 인식된다
어반클래식의 예약시스템은
운영 효율을 높이는 도구를 넘어 브랜드 신뢰의 핵심 자산이 되었습니다.
고객 입장에서는
“어디서 예약해도 바로 확정된다.”
“시간이 겹쳐서 취소된 적이 없다.”
“이 브랜드는 믿을 수 있다.”
이런 경험이 쌓이면서
단순히 공간을 빌리는 게 아니라 ‘운영이 안정된 브랜드’를 선택하게 됩니다.
예약의 정확도는 결국 브랜드의 신뢰도다.
신뢰는 마케팅이 아니라 시스템이 만든다.
6. 어반클래식이 전하는 운영 철학
어반클래식의 목표는 단순히
“공간을 많이 운영하는 회사”가 아닙니다.
우리가 만든 시스템과 운영 매뉴얼이
다른 공간 운영자들에게도 도움이 되기를 바랍니다.
그래서 내부적으로 사용하는 운영시트 구조와 관리 노하우를
공유형 시스템으로 확장 중이며,
공사사 커뮤니티를 통해 함께 성장하는 공간 생태계를 만들어가고 있습니다.
결론 — 예약을 관리하는 게 아니라, 신뢰를 설계한다
공간대여업은 결국 ‘예약의 정확도’가 곧 브랜드의 신뢰입니다.
예약 중복은 단순한 기술 문제가 아니라,
운영자의 철학과 시스템이 만들어내는 결과입니다.
어반클래식은 기술을 통해 효율을 만들고,
사람을 중심에 둔 운영으로 신뢰를 쌓습니다.
“60개의 공간을 중복 없이 운영하는 힘은 기술이 아니라,
고객과 운영자를 동시에 존중하는 구조에서 나옵니다.”
#공간대여 #공간운영시스템 #예약관리 #공간창업 #공간운영노하우
#어반클래식 #공사사커뮤니티 #무인공간운영 #공간브랜딩 #저스트두일</t>
  </si>
  <si>
    <t>#공간대여, #공간운영시스템, #예약관리, #공간창업, #공간운영노하우, #어반클래식, #공사사커뮤니티, #무인공간운영, #공간브랜딩, #저스트두일</t>
  </si>
  <si>
    <t>https://postfiles.pstatic.net/MjAyNTEwMjZfMTQg/MDAxNzYxNDg2MTIwMjg3.m6vUIm4q5JNEuMonSeZB9zjxGyAIsXl3HFKYcAeHTbMg.p5VIq9TT-HgHVWpikZkWnY8scUNkchxlAsgj33eJmiIg.JPEG/%EC%A0%9C%EB%AA%A9%EC%9D%84-%EC%9E%85%EB%A0%A5%ED%95%B4%EC%A3%BC%EC%84%B8%EC%9A%94_-017_(2).jpg?type=w773|||https://dthumb-phinf.pstatic.net/?src=%22https%3A%2F%2Fcafeptthumb-phinf.pstatic.net%2FMjAyMzAzMjBfOTIg%2FMDAxNjc5MzA5MzY5MTc3.tiLCxXiJfX9KnB5eczX6R9Bmj5a3ghBY93ZFICRtT9kg.uY13wbGJvsNkF2ZmB-xAbEvoWyzyA2c6Yxh9i-JHSuog.JPEG%2F%2525EC%2525B9%2525B4%2525ED%25258E%252598_%2525ED%252583%252580%2525EC%25259D%2525B4%2525ED%25258B%2525802-002.jpg%3Ftype%3Dw740%22&amp;type=ff120</t>
  </si>
  <si>
    <t>수도권미분양아파트 체감가 산식·옵션 포함 : 네이버 블로그</t>
  </si>
  <si>
    <t xml:space="preserve">입주민 전용 커 뮤니티 '클럽 힐스'는 격이 다른 일상을 선사연실수행실합니다. 본 질적인 피트니스센터, 실내 골프연습장은 물론, 입주민의 피로를 풀 어줄 고품격 사우나 시설까지 마련했답니 당. 또한한한... </t>
  </si>
  <si>
    <t>blog.naver.com/cmodb2758</t>
  </si>
  <si>
    <t>https://blog.naver.com/cmodb2758/224061731733</t>
  </si>
  <si>
    <t>cmodb2758</t>
  </si>
  <si>
    <t>수도권미분양아파트 체감가 산식·옵션 포함
Next image
수도권미분양아파트 체감가 산식·옵션 포함
수도권미분양아파트 체감가 산식·옵션 포함
수도권미분양아파트 체감가 산식·옵션 포함
용인시 처인구가 시기
최대 반도체 클러스터의 심장부로 지정
되면서, 이 일대의 교
통인프라이 천지개벽 수준의 조정를
예고하고 차지실수행실행연
실수행합니다.
정부와 지자체가 36
0조 원 규모의 투
자를 뒷받침하기 위해 광역
도로망과 철도망 확충에 속도를 내고
있기 이유입니다.
이 같은 최대 수혜지로 힐스테이트
용인마크밸리가 주목받고 차지수
행실합니다.
이미 갖춰진
도시 인프라에 더해 트리
플 철도 노선과 동
탄 직결 도로망까지 품
게 될 전망입니당~.
밀APT개발 내용를 알아보
면, 밀직타운는 용인시 처인
구 남사읍 아곡리 705번지
일원에 부지하며, 총 660공세대 규모로
조성형성가능연수행합니다.
지하 2층에서 지상 27층,
7개 동으로 구성되고,
국민평형, 109㎡의
선호도 높은 중요요대대형
평형과 펜트하우스 타입을
선조사이루어지는데요.
특별히 건폐율
이 19.98%에 불과해야해야해 아
주나 쾌적한 주거 환경을 자
랑하며, 공공세대당 1.57
대의 중요요한 주차 여백을 확
보해 입주민 서비스를 극대화행
했어요.
이 같은
쾌적한 밀직밀직지역 설계는 지상 여
백을 공원화하여 입주민들이
사시절 내내 자연을 만끽할 수 있도록
했구요.
밀자택밀자택밀
직지역 내에는 다양한 테마의
조경 시설과 함께 실내 놀이터 H-
아이숲, 티하우스 등
휴게 여백이 마련형성형성가
능한데요.
워낙 타운 곧 옆쪽으
로 한숲물방울공원과
남사 스포츠센터, 남사도서관
등이 접해 있다지
만 멀리 나지니 않으며
도 풍부한 여가 및 문화그때살이활살이활살
이활을 즐길 수 차지연합니다.
실내 평면 또한 힐스테이트의
조정 설계가 돋간주가능실수
행실수행합니다.
8
4㎡와 109㎡ 주력
타입은 4Bay 판
상형(일부) 설계를 사용하여
채광과 통풍을 극대화했답니당.
거
실과 주방의 맞통풍 구조는 물론, 넓은
드레스룸과 다용도 현관 창고
, 알파룸(일부) 등을 제공해 수납여백과
여백 효율성을 모두 잡
았는데요.
이는 용인 처인구
힐스테이트만의 차별화된
물품성으로, 실거
주 흡족도를 높이는 핵심 요소
입니다.
입주민 전용 커
뮤니티 '클럽 힐스'는 격이
다른 일상을 선사연실수행실합니다.
본
질적인 피트니스센터, 실내 골프연습장은
물론, 입주민의 피로를 풀
어줄 고품격 사우나 시설까지 마련했답니
당.
또한한한,
자녀들을 위한 라이브러리
와 스터디룸, H-아이숲, 다함께 돌
봄센터가 조달되고, 반려
동물을 위한 H-위드
펫 등 힐스테이트만의 세심한 배
려가 돋보이는 특화 시설들로 가
득 채워주택니다.
교
통 호재 외에도 이미 완성된 생
활살이활 인프라는 큰
유리연수행연실합니다.
타운가 속한 남사아곡지구는 7,46
0공세대가 거주하는 완성형 택지
지구로, 롯데프레시와 대규모 스트리트
몰 '한숲애비뉴' 등 상업 시설이
활성화되어 차지행연실실행합니다.
병의원, 은행, 학원가 등 모든 생활
살이활 기반시설이 도보권에
밀협동공동주택해 있다지만 입
주와 동시에 편리한 원스톱 라이프가 가능
실실행합니다.
교육 환경 그리고 완벽연수
행연실수행합니다.
밀집단지 곧 앞에
는서는서는서는서는서는서는 처인고등학교가
자리하며, 2025년 3월 신규로
추가 개교한 처인초등학교와
처인중요학교 또한한 도보 5
분 거리에 있다지만, 12년 전
과정을 안전하게 도보로 통학할
수 있다말하시는 '원스톱 학세권'을
마련했습니다.
또한 읍·
면 밀직타운 짱인점인 '농어촌
특별전형' 대상이 될 수 있다
지만(조건부) 학부모 수요자들
에게 최고의 채택지
로 꼽힙니다.
힐
스테이트 용인마크밸리는 처인구 교통 혁명
의 최대 수혜지인데요.
우선 국지도 84호
선(2026년 예정
)이 개통되면 동탄2신
도시까지 차량 10분
대 접근이 가능해져
GTX-A노선과 백화점, 학원가
등 동탄의 인프라를
공유하게 형성형성가능한데
요.
더욱 주목
할 점은 타운 인근
남사역(구상)으로 무려 3
개의 철도 노선(경강선 연장, 수
도권 내륙선, 반도체
선)이 추진되고 있다는
점입니다.
이 모든 교통 밀집단지
밀집단지개발의 중요요대심에는 360조
원 규모의 '첨단
시스템반도체 국가산
업밀직밀직지역'가 차지실수행실수행합니
다.
밀직밀직밀집지역는
이 시기 최대 반도체
허브와 초근접한 직주근접
대상지를 자랑실행하는데요.
2026년
팹1 착공을 스타트으로
막향한 규모의 고이득 일자리가
창출될 예정이며, 힐스테이트 용인마
크밸리는 이 모든 수요를 흡수할
제일 가깝고 쾌적한 신축
브랜드 협동공동주택입니다.
힐스
테이트 용인마크밸리는 동탄을 10
분대에 연관성하는 도로망
과 3개의 미래 철도 노선이라는 압
도적인 교통 호재를
간직이치렀어요.
여
기에 1차 계약금 단
500만 원, 또한한 무한 전매가
가능한 특이한 금융 짱인점까지 제공되어
투자 가치를 극대화하셨는
데요.
반도체 특급 수혜와 완성
형 인프라를 모두 누리고자 하면, 이
번 기회를 반드시 잡아야 할
것인데요.
7,460공세대 완
성형 도시의 편리함과 반도체
하이패스가 될 트리플 역세권의
미래가치를 동시에 누릴
수 있다말하시는 밀집단지인
데요.
이미 검증된 프로젝트지에 힐
스테이트라는 브랜드 가치까지
더해졌어요.
현재 곧 사업지을
방문하시어 동탄과
하나가 되고 수도권 전역으로
뻗어 나갈 힐스테이트
용인마크밸리의 압도적인 비전을 살펴
보시길 바램수행수행합니다.</t>
  </si>
  <si>
    <t>https://postfiles.pstatic.net/MjAyNTExMDJfODcg/MDAxNzYyMDQyNjc2NTU2.tZYKjhKrqguHxXsaNWlgy0b0ntIP1DFteCnLWxboyCog.xSz1zT13NIraxaswbphZVGiF7gzElU5romonm1d11K8g.PNG/20251102091754683-.png?type=w80_blur|||https://blogfiles.pstatic.net/MjAyNTExMDJfMTkg/MDAxNzYyMDQyNjk2NjEy.ivfgdOyJQqlhJV5J8o9_CpzUK8Xso6GP9BB8hPpz4S8g.GrRoatOVtourcsm0VRPNPcct9cSFSWrR17a_Y4LFXS4g.JPEG/1.jpg|||https://blogfiles.pstatic.net/MjAyNTExMDJfNTIg/MDAxNzYyMDQyNzAxMTU5.wjLPcRiBHwbVlvjqR7Lu6QTGz4Xt1iPKUVvVDz5Ehykg.QvcBzdA6noJEGEhI-V-z1YZqbKCZ6E0icM4onG57ubwg.JPEG/2.jpg|||https://blogfiles.pstatic.net/MjAyNTExMDJfMTYz/MDAxNzYyMDQyNzA0OTAz.GZwBz1SJbDs2BV61fuc87V1e21ryydWavTh6PfBe_zkg.v3ARHh0YqN6Q4eFkUYyXE6FlVHYvUCkHrN1JipMgh3Mg.JPEG/3.jpg|||https://postfiles.pstatic.net/MjAyNTExMDJfMjk1/MDAxNzYyMDQyNzE1NzE4.yxTrXUBJDny_JBXJFFHqdSA1lA5i_p5BWavuqxTQf0Ig.X9fcpu-9wnmQfHlcCWlfqk8Nw0U4yMjNsOE2iGF5Awgg.PNG/20251102091828121-.png?type=w80_blur|||https://postfiles.pstatic.net/MjAyNTExMDJfMjQx/MDAxNzYyMDQyNzE3MzA1.Lqh2nrhBYjAtPzQH_5Y3uEHjveD_QTLRtvgGz8gnp10g.Rh6iIdc4DGuyc8Cb89JbPszeu34IGyhQ7jW_gL7mEzsg.PNG/20251102091828172-.png?type=w80_blur|||https://postfiles.pstatic.net/MjAyNTExMDJfMjI0/MDAxNzYyMDQyNzE3ODY1.-vwPqelcrxrCS2p6cayY7XQI7cVXccwVwbaM9MDMp6kg.HrSTnDrz67MJTcO-yO9l1bDbUft94bwi32S_w8rSU4wg.PNG/20251102091828218-.png?type=w80_blur|||https://postfiles.pstatic.net/MjAyNTExMDJfMTcx/MDAxNzYyMDQyNzE3NzQy.6ayUmj5e1G-bgT205TYL6vJkIUu3uUwTYAruymgeoq0g.jH3o4_4M6x2L69tQeoJMKQn2QExuQKHDVijsai-dvYog.PNG/20251102091828265-.png?type=w80_blur|||https://postfiles.pstatic.net/MjAyNTExMDJfNTkg/MDAxNzYyMDQyNzE3NjMx.4jG8EYXN5ZP6OrfkN-uGBCV4HCcIUDBwfzJfJKdBFXkg.T_RRhe_Dah9Y5vGljuIDkcE0Ra_5g53N6-LdH0ATTxQg.PNG/20251102091828311-.png?type=w80_blur|||https://postfiles.pstatic.net/MjAyNTExMDJfMTE2/MDAxNzYyMDQyNzE3Nzc1.Jw1gHvKayFfSBS0flJAn1VW7DpNTCqxEkIqC3pElxNUg.J9bFPdQb9prSr67kg77QKnRNnUkXSu_f-HO0e6w33-8g.PNG/20251102091828360-.png?type=w80_blur</t>
  </si>
  <si>
    <t>용인힐스테이트마크밸리 실거주 vs 투자 체크리.. : 네이버블로그</t>
  </si>
  <si>
    <t xml:space="preserve">밀직지역 내 커 뮤니티 시설 '클럽 힐스'는 입주 민의 삶의 질을 한 차원 높 여전연실합니다.... 커뮤니티가 다채롭게 제공되어 원스톱 라 이프를 서비스실수행합니 다. 이미 모든 것이 갖춰진 7,460 공세대... </t>
  </si>
  <si>
    <t>https://blog.naver.com/jxjcffdcq/224061704347</t>
  </si>
  <si>
    <t>용인힐스테이트마크밸리 실거주 vs 투자 체크리스트
Next image
용인힐스테이트마크밸리 실거주 vs 투자 체크리스트
용인힐스테이트마크밸리 실거주 vs 투자 체크리스트
용인힐스테이트마크밸리 실거주 vs 투자 체크리스트
최근 용인시 처인구는 시기
최대 규모의 반도체 클러스
터 조성 계획이 가시화되면서
남한 산업 지도의
중대대요심축으로 떠오르고 차지수행실수행실
수행합니다.
360조 원이 넘는 막향
한 투자와 함께 교통 인
프라 확충, 신규 주거 밀직
밀APT밀집지역 조성에 향한
기대감이 그 어느 때보다 높은 상황
입니당~.
이 같은 흐름
속에서 남사아곡지구의 완성형 인프라를
누리는 신규 공급
밀직밀직지역 힐스테이트 용
인마크밸리가 K-반도체 벨트의 핵심
배후 주거지로 큰 주목을 받고 대상지수
행수행합니다.
본문에서는 해당 단지
프로젝트지의 밀집타운개발지적
강점과 물건성, 또 미래가치를 섬
공세히 분석해 보겠습니다.
밀
협력주택개발지는 용
인시 처인구 남사읍 아곡
리 705번지 일원에 자리하며, 지하 2
층부터 지상 최고 27층
, 7개 동, 총 660공세대 규모로
조성가능수행연실수행합니다.
법정 기준치(20%)보다 낮은 19.9
8%의 건폐율을 사
용하여 동 간 거리
를 넉넉하게 확보하고 지상
여백을 공원형으로 설
계해 쾌적성을 극대화했는데
요.
주차 여백 또한
세대당 1.57대에 달하
는 1,035면을 확보하여 입주
민의 주차 스트레스를
획기적으로 줄였습니다.
남한 명품 주거 브랜드 현대건설이
시공하는 힐스테이트 용인마크밸리는 신
뢰와 시공공세차익을 동시에
선사할 것입니다.
19
.98%의 낮은 건폐율은 풍부
한 조경 면적으로 이어져 밀자택밀직타
운 포괄가 하나의 쾌적한 공원처럼 느껴지
도록 구상됐답니다.
남향 위주의 밀집타운 배
치를 통해 채광과 통풍을 극대화
했으며, 입주민의 휴식
과 교류를 위한 고
품격 중요요대앙광장이 조성가능한데요.
워낙 자녀들을 위한 실내
놀이터 H-아이숲과 어른들의 휴식을
위한 티하우스 등 힐스테이트만
의 특화 조경 및 커뮤니
티 시설이 밀자택밀
직타운 곳순위에 배치되어 주거
흡족도를 향25시킵니다.
공급 타입은 국평
3개 타입 394공세대, 109㎡ 3
개 타입 234공세대, 또한
희소성 높은 펜트하우스 32세대로 구
성되어 수요자의 채택 폭을 확장했
습니다.
주력 평형인 84㎡
와 109㎡는 4Bay 판상
형(일부) 구조와
조정적인 특화 설계를 활
용했는데요.
넓은 드레스룸과
현관 창고, 알파
룸(일부 타입) 등 소대단한 수납여백
을 제공하여 여백 적용성을 극대화했
으며, 최신 주거 트렌드를 사용한 고품격
마감재로 격이 다른 주거 여백을 완성수
행연실합니다.
밀직지역 내 커
뮤니티 시설 '클럽 힐스'는 입주
민의 삶의 질을 한 차원 높
여전연실합니다.
피트니스센터, 골프연습장, 라이브
러리 등 밑바닥 시설은 물론, 용인 한
숲시티 내에도 없던
고품격 사우나 시설이 마
련만들어지는데요.
또 반려동물과 함께하는
입주민을 위한 펫 샤워
룸 'H-위드펫', 실내 어린아이 놀
이터 'H-아이숲'
등 최신 트렌드를 적용
한 힐스테이트만의 특화
커뮤니티가 다채롭게 제공되어 원스톱 라
이프를 서비스실수행합니
다.
이미 모든
것이 갖춰진 7,460
공세대 규모의 남사
아곡지구(용인 한숲시티
) 내에 부지하여, 입주 즉시 완성
된 시기살이활 인프라를 누릴 수 차지실수
행연실합니다.
밀집밀집지역 인근
에 롯데프레시, 한숲스퀘어 등 대
형 상업인프라이 활성화되
어 있다지만, 병의원, 은행
등 기반시설이 밀공동주택해 있다알리는
데요.
또한한한 남사도서관
, 남사 스포츠센터, 한숲물방울공원을
비롯한 6개의 대형
공원 등 풍부한 문화
및 녹지 환경이 이미 조성
되어 있다지만 편리하고 쾌적한 생활
살이활살이활이 가능연실행연실연수행합니다.
밀직지역 곧 앞에는
서는는는서는는서는는
처인고등학교가 붙어 있
다지만, 도보 5분
거리에 2025년 3월 신규로 추
가 개교한 처인초등
학교와 처인중요대학교가
지리하여 완벽한 '
원스톱 안심 학군'을 자랑연수행연합
니다.
자녀들이 안전하
게 걸어서 초·중요요·고교를 모두
통학할 수 있다알리는
데요.
뿐만 아니라
밀집밀집밀집지역 앞 상업지구 내에
는 다수의 학원가가 이미 형성되어 있
기도하지만 남사도서관까지 가까워, 용인
처인구 힐스테이트 밀집
밀집지역 중요요 최상의
교육 환경을 제공연실행연실
합니다.
힐스테이트
용인마크밸리는 처인성로를 통해 용인
시내 및 인근 산업밀자택밀집단지로의
접근이 용이실수행수행
실수행합니다.
후 국지도
84호선(동탄 중요대
요리~천리)이 2026
년 개통되면 동탄2신도시까
지의 접근성이 획기적으로 개선될 예상
인데요.
특별히 프로
젝트지 인근 남사역(계획)
으로 경강선 연장(경
기광주-남사), 수도권
내륙선(동탄-청주공항)
, 반도체선(동탄-부발) 등 3
개의 핵심 철도 노
선이 추진되고 있다지만 수도권 광역
교통의 허브로 거듭날 것인데요.
밀자택밀집밀집타운 인근에는 삼성전
자가 360조 원을 투자하는 '첨단 시
스템반도체 국가산업단지'가 조성 중요요
이랍니닷~.
이는 약 778만㎡
규모로, 150여 개의
반도체 기업과 팹 6기가
들어서는 시기 최대
규모이예용~.
202
6년 상반기 첫 번째 팹(
FAB1) 착공이 예정되어 있다지만, 이
와 연계된 용인테크노밸리 등과 함께
막향한 직주근접 수요를 창출하며 타운
가치를 견인할 핵심 동력으로 작용
할 전망입니다.
힐스테이트 용인마크
밸리는 반도체 클러스터의 미래가치와 이미
완성된 7,460세대 대
밀주택지역 인프라를 동시
에 누릴 수 있다알
리는 독보적인 부지를 선점했답니
당.
우수한 학군과 쾌적한 주거
환경은 물론, 1차
계약금 500만 원 정액제와 무
한 전매 가능이라는
파격적인 금융 짱인점까지 제공행하
는데요.
입주 10년 차를 맞이
하는 남사아곡지구 내
하나뿐인 신축 브랜드 대안
으로서, 실거주와 투자를
모두 흡족시키는 최상의 채택
이 될 것인데요.
시기 최
대 반도체 허브의 비전과 초
·중요요대·고를 모두 품은 명품
교육 환경을 동시에 갖춘 단지이예
요.
입주 즉시
누릴 수 있다포알리는 완성형 인
프라와 힐스테이트의 브랜드
가치까지 더해졌답니다.
모델하우스
에 방문하시어 압도
적인 사업지 조건과 물품성을
직접 검사해 보시길 권장해
드립니다.
이상으로 K-반도
체 벨트의 새로운 중요대요심,
힐스테이트 용인마크밸리 분석을 마
칩니다.</t>
  </si>
  <si>
    <t>https://postfiles.pstatic.net/MjAyNTExMDJfNDAg/MDAxNzYyMDM5MjU4MTE0.W0CXbbo7FO3sPpmYzVX8jMaa7Ea7UnUpkboEpwOm9yMg.JrYe5IatnR4iRE7asjEF2DhX4LWFdeeq9V7Uir2bnjsg.PNG/20251102082056065-.png?type=w80_blur|||https://blogfiles.pstatic.net/MjAyNTExMDJfNTcg/MDAxNzYyMDM5MjgxMTIz.Oq7Pm2rxK5sr-ThNJhxOZpn36HbvIbnhAuUEyGVRRPMg.IHBO7bIIYub4CENIPO7jC_PtGfGBDpy-R8nqEKceG3Eg.JPEG/1.jpg|||https://blogfiles.pstatic.net/MjAyNTExMDJfMjUy/MDAxNzYyMDM5Mjg1NjE5.KsNo1_fh0qEGpXTsoImIU44cutGP6ZEg_8dnlsOY7O0g.7pgKGTUuuvaxkduQJ_8w41JTg-OMI4whgo02grHgGocg.JPEG/2.jpg|||https://blogfiles.pstatic.net/MjAyNTExMDJfMjA5/MDAxNzYyMDM5Mjg5NjM2.7GRmSJSoYpdn33nlDHnGN0AlWUZmpNdebyo6pOMyFMsg.5ApZnhaLJbGiSoljKR5VMotJiKzoThqtxSDE49bLrTwg.JPEG/3.jpg|||https://postfiles.pstatic.net/MjAyNTExMDJfMTY0/MDAxNzYyMDM5MzAxNzMx.OHTo33nTssZjAjmJnsbeceQwY2jlA1MWpqovy3wM_g4g.bzEesF5FrommBCwXu4fbGz-tfIZHV3f1dO0n-kyAFfMg.PNG/20251102082132872-.png?type=w80_blur|||https://postfiles.pstatic.net/MjAyNTExMDJfMjA1/MDAxNzYyMDM5MzAyMTAy.eoO9MsIYXsSv27mNdhEvulvLGx9g7K8nheeqMuMMQHAg.rZtHRh2yt7-gmPj4nYhWDvR1Ojn2hvrVSrDR7U076Rcg.PNG/20251102082132919-.png?type=w80_blur|||https://postfiles.pstatic.net/MjAyNTExMDJfMzYg/MDAxNzYyMDM5MzAyNDU1.O0PRONHeBFcHcWNiaIxniKdksMhpKE6kKzWp8R_oCwog.xn9eV00Bv_qOAyhAatRslkbJYn9HpLtKs-fKgUub-Hog.PNG/20251102082132965-.png?type=w80_blur|||https://postfiles.pstatic.net/MjAyNTExMDJfMjY2/MDAxNzYyMDM5MzAyMTIx.2i9mFwHOJnWVNKGEAtqIAnRPEoa-IHiKyLk-UBauYSQg.Xo5eHWPFNFzQpH94elfvGgr0kSufMY0Di_unFmkv5okg.PNG/20251102082133014-.png?type=w80_blur|||https://postfiles.pstatic.net/MjAyNTExMDJfMTg0/MDAxNzYyMDM5MzAyMzA4.gR9eXwshyHjK324NHdX4t1zNn7uZm-imV6nh70G5KVYg.k0bu11_kg1uDZ8FeMuiohxjyfJoiKTfn82YdwMfAB6Ag.PNG/20251102082133061-.png?type=w80_blur|||https://postfiles.pstatic.net/MjAyNTExMDJfMTY5/MDAxNzYyMDM5MzAyMzUx.HVvQMijOW4i5m0Ldl6qxA-uxG2ZGFRrtxxcSJrJa6isg.9IDozYXmp-yo8oOFFtg0QwpbCQ05YmthvH0A-Z8yS94g.PNG/20251102082133108-.png?type=w80_blur</t>
  </si>
  <si>
    <t>용인힐스테이트마크밸리 견본주택 상담 전 준비물 : 네이버 블로그</t>
  </si>
  <si>
    <t xml:space="preserve">커뮤니티 시설이 밀자택단지 곳순위에 배치되어 주거 만족도를 끌어제공연행합니 다. 공급 타입은... 밀공동주택밀협력주택밀자택 단지 내 커뮤니티 시설 '클럽 힐스' 는 입주민의 삶의 질을 한 차원 높여전... </t>
  </si>
  <si>
    <t>blog.naver.com/bseybkvua</t>
  </si>
  <si>
    <t>https://blog.naver.com/bseybkvua/224061700352</t>
  </si>
  <si>
    <t>bseybkvua</t>
  </si>
  <si>
    <t>용인힐스테이트마크밸리 견본주택 상담 전 준비물
Next image
용인힐스테이트마크밸리 견본주택 상담 전 준비물
용인힐스테이트마크밸리 견본주택 상담 전 준비물
용인힐스테이트마크밸리 견본주택 상담 전 준비물
최근 용인시 처인구는 공
세간 최대 규모의 반도체 클러스터
조성 계획이 가시화되
면서 남한 산업 지도의 심장
축으로 떠오르고 자리실수행수행합니
다.
360조
원이 넘는 막향한 투자와 함께 교통 인
프라 확충, 신규 주거 타운 조성에 향한
기대감이 그 어느 때보다 높은 형태이
랍니닷~.
이러
한 흐름 속에서 남사아곡지구의 완성형
인프라를 누리는 신규 공급
밀협력주택단지 힐스테이트
용인마크밸리가 K-반도체 벨트의 핵심
배후 주거지로 큰 주목을 받고 차
지수행실수행합니다.
본문에
서는 해당 프로젝트지의 입지적 강점과
제조품성, 그리고 미래가치를
세밀히 분석해 보겠습니다.
프로
젝트지는 용인시 처인구 남사읍
아곡리 705번지 일
원에 자리하며, 지하
2층부터 지상 최고 27층, 7
개 동, 총 660세대 규모로
이루어APT니다.
법정 기준치(2
0%)보다 낮은 19.98%의 건폐
율을 사용하여 동
간 거리를 넉넉하게 확보하고 지상 여백을
공원형으로 설계해 쾌적성을 극대
화하셨는데요.
주
차 여백 그리고 세대당 1.57대에
달하는 1,035면을
확보하여 입주민의 주차
스트레스를 획기적으로 줄
였습니다.
접한민국
명품 주거 브랜드 현대건설
이 시공하는 힐스테이
트 용인마크밸리는 신뢰와 시세
차익을 동시에 선사
할 것입니다.
19.9
8%의 작은 건폐율은 풍부한 조경 면적으
로 이어져 밀직지역 복합가 하나의
쾌적한 공원처럼 느껴지도록 계획이
루어졌는데요.
남향 위주의 밀집
단지 배치를 통해 채광과 통풍을 극
대화했으며, 입주민의 휴식과 교류를 위한
고품격 중요요대앙광장이
조성만들어지는데요.
뒤
자녀들을 위한 실내 놀이터
H-아이숲과 어른들의 휴식을 위한
티하우스 등 힐스테이트만의 특화 조경
및 커뮤니티 시설이
밀자택단지 곳순위에 배치되어 주거
만족도를 끌어제공연행합니
다.
공급 타입은 국민
평형 3개 타입 394세
대, 109㎡ 3개 타입 234세
대, 그리고한 희소성 높
은 펜트하우스 32공세
대로 구성되어 수요자의 선택 폭
을 확장했답니당.
주력 평형인
84㎡와 109㎡는 4Bay 판상형
(일부) 구조와 조정적
인 특화 설계를 적용
하셨는데요.
넓은 드레스
룸과 현관 창고, 알파룸(일부 타입)
등 소훌륭한 팬트리을 제공하
여 여백 이용성을 극대화했으며,
최신 주거 트렌드를 사용한 고품격 마감
재로 격이 다른 주거 여백을 완성연수
행실수행합니다.
밀공동주택밀협력주택밀자택
단지 내 커뮤니티 시설 '클럽 힐스'
는 입주민의 삶의 질을 한 차원 높여전
합니다.
피트니스센터,
골프연습장, 라이브러리 등 기본 시설은
물론, 용인 한숲시티 내에도 없던 고품
격 사우나 시설이 마
련형성이루어지는데요.
그리고
한한 반려동물과 함께하
는 입주민을 위한
펫 샤워룸 'H-위
드펫', 실내 어린아이 놀이터 'H-
아이숲' 등 최신 트렌드를 사용
한 힐스테이트만의 특화 커
뮤니티가 다채롭게 제공되어 원스
톱 라이프를 서비스
수행수수행합니다.
이미 모든 것
이 갖춰진 7,460공공세대
규모의 남사아곡지구(
용인 한숲시티) 내에
자리하여, 입주 즉시 완성
된 생활 기반시설를 누릴 수 자리수행연
합니다.
단지 인근
에 롯데프레시, 한숲스퀘어 등
대형 상업인프라이 활성화되어 있겠지만
, 병의원, 은행 등
서비스시설이 밀공동공동주택해 있겠
지만요.
또한한한한 남사도서관, 남
사 스포츠센터, 한숲물방울공원을 비롯
한 6개의 대형 공원 등
풍부한 문화 및 녹지 환경이 이미
조성되어 있다지만 편리하고
쾌적한 생활이 가능실
실수합니다.
밀자택밀직지역 곧
앞에는서는서는는서는는서는서는 처
인고등학교가 붙어 있기도하지만, 도보 5
분 거리에 2025년
3월 신규로 추가
개교한 처인초등학교와 처인중요
대대학교가 부지하여 완
벽한 '원스톱 안심 학군'을
자랑연합니다.
자녀들이
안전하게 걸어서 초
·중요요대·고교를 모두 통학할
수 있겠지만요.
뿐만
아니라 타운 앞 상업지구 내에
는 다수의 학원가가
이미 형성되어 있고 남사도서관까지 가
까워, 용인 처인구
힐스테이트 밀집타운 중요대 최상의 교
육 환경을 제공연행실합니다.
힐
스테이트 용인마크밸리는
처인성로를 통해 용인 시
내 및 인근 산업밀
집타운로의 접근이 용이연수행실합니
다.
후 국지도 84호
선(동탄 중요대리~천리)이 2
026년 개통되면 동탄2신도시까지의
접근성이 획기적으로 개선될
전망이예용~.
특별히 밀집단지개발지 인근 남사역(방
침)으로 경강선 연장(경기광주-
남사), 수도권 내륙선(동탄
-청주공항), 반도체선(동탄
-부발) 등 3개의
핵심 철도 노선이 추진되고
있다지만 수도권
광역 교통의 허브로 거듭
날 것인데요.
지역
인근에는 삼성전자가 360조 원을 투
자하는 '첨단 시스
템반도체 국가산업밀직밀직지역'가 조성 중
대요대입니다.
이는 약 778만㎡
규모로, 150여 개의
반도체 기업과 팹 6기가 들어서
는 당시 최대 규모입니다.
2026년 상반
기 첫 번째 팹(FAB1) 착
공이 예정되어 있다
지만, 이와 연계된 용인테크노
밸리 등과 함께 막향한 직주근
접 수요를 창출하며 밀집단지 가치
를 견인할 핵심 동
력으로 작용할 전망입니다.
힐스테
이트 용인마크밸리는 반
도체 클러스터의 미래가치와 이
미 완성된 7,460세대 대단지 기반시설
를 동시에 누릴 수 있다알리는
독보적인 사업지를 선점했
답니당.
우수한 학군과 쾌적한 주
거 환경은 물론, 1차 계
약금 500만 원 정액
제와 무한 전매 가능이라는
파격적인 금융 짱인점까지 공
급실행하는데요.
입주 10년
차를 맞이하는 남사
아곡지구 내 하나뿐인 신축 브랜
드 대안으로서, 실거주와
투자를 모두 흡족시키는 최상
의 채택이 될 것인데요
.
그때 최대 반도체 허브의 비전
과 초·중요요·고를
모두 품은 명품 교육 환경을 동시
에 갖춘 밀자택밀협동주택타운인데요.
입주 즉시 누릴 수 있다포알리는
완성형 기반시설와 힐스테이트의 브랜드
가치까지 더해졌어요.
전시공동주택에 방문하시어
압도적인 부지 조건과 제조품성을 직접
살펴 보시길 권장해 내어전실
행합니다.
이상으로 K-반도체
벨트의 새로운 막중대심, 힐
스테이트 용인마크밸리 분석을 마
칩니다.</t>
  </si>
  <si>
    <t>https://postfiles.pstatic.net/MjAyNTExMDJfMjk1/MDAxNzYyMDM4NzA5OTM1.NrRO4PbkN8lpokQSseYNdpkHIYfc1nEzNHkuXizhtWUg.WLk1vO07PXxHg5VhOIqZiDXXa7YRaLsljJWMFx-EaFYg.PNG/20251102081147858-.png?type=w80_blur|||https://blogfiles.pstatic.net/MjAyNTExMDJfMTUz/MDAxNzYyMDM4NzMzMTYz.29yiPxJmoI5gk-BL-nIQekBstSgA-tiDm7BpDkBqBVMg.uU5mfr1gPCJP0MY4NC13uKUnKkeOvO6LGUCfCEOU6tUg.JPEG/1.jpg|||https://blogfiles.pstatic.net/MjAyNTExMDJfMTI0/MDAxNzYyMDM4NzM3OTky.WXtNpKfn-tvQWj6mIsgF9tCFI4j8KOLR3-s03KQOvzYg.X5KODu8dfh2ThXkKjYS6no6-tq14XYddSaBNPtBcMTog.JPEG/2.jpg|||https://blogfiles.pstatic.net/MjAyNTExMDJfMTcw/MDAxNzYyMDM4NzQyNDUw.ZRTZEv2UncrMKMkB9AG3dkLOfXO-A3DHJEL7FtkuTmwg.yIHV6OKHfZRyqa8peeVtmM4aDb-rhVRKfPfZKbobzwgg.JPEG/3.jpg|||https://postfiles.pstatic.net/MjAyNTExMDJfMTAx/MDAxNzYyMDM4NzU0MzUw.78oChi7fD95Tpw3WydaUivCyGh41RlLLLOPGHSyo2oIg.j-7ULCQ2gvT9qKYjOI0rEdgXmoZ9xc8JOZ6Ik_YvO-kg.PNG/20251102081225543-.png?type=w80_blur|||https://postfiles.pstatic.net/MjAyNTExMDJfMjY0/MDAxNzYyMDM4NzU0NjEy.kHRPPzNGRZg9MjcqXNOTEKDjZ5wCq4noXuuPfH_-Cxkg.4S4ETfim7IMn4j5kx1IVonLMWTESGCvEHpph5UuoUvAg.PNG/20251102081225590-.png?type=w80_blur|||https://postfiles.pstatic.net/MjAyNTExMDJfMjEz/MDAxNzYyMDM4NzU0ODQz.Tfidb1zopTk5i3wrUrH6TwVfMUSbS9EyTZdZZgy4qzAg.q6a4FBwo1GSirrHJhuTsSqWvgTtSmqFA6_jdVYVBXqog.PNG/20251102081225637-.png?type=w80_blur|||https://postfiles.pstatic.net/MjAyNTExMDJfNDQg/MDAxNzYyMDM4NzU0OTI4.gQumEZo8-AVPUkMbPLgar7x638wDZx1WcWqKYgFbyyUg.NG18u5BrLJK4X4gRX7ZsgHCItYoQd6W0tKmYC6AofDog.PNG/20251102081225684-.png?type=w80_blur|||https://postfiles.pstatic.net/MjAyNTExMDJfMTI4/MDAxNzYyMDM4NzU1MDIz.169pKOiGN_IMEErj4Ck2FZKz8NfoSxBaN3DyHcg20Aog.tjBOoo3pXYmaFa_jM3Q3i0t8JC6q2St5VLQKi_HaY84g.PNG/20251102081225732-.png?type=w80_blur|||https://postfiles.pstatic.net/MjAyNTExMDJfMzcg/MDAxNzYyMDM4NzU1MDUz.c1kET64LT4_GUW2Z7s436wrCUJJKn7hLjcJjAolV7Kkg.RDoOPcpV_rnZjuw6gwPrhF31Ts3IIamHd6A2MgQxHO4g.PNG/20251102081225779-.png?type=w80_blur</t>
  </si>
  <si>
    <t>*뮤니티 게시글삭제 악성글 방치하면 더 커집니.. : 네이버블로그</t>
  </si>
  <si>
    <t xml:space="preserve">요즘 *뮤니티에 올라오는 글 하나로 큰 피해를 입는 사례가 늘고 있습니다. 특정인의 이름, 기업 이름이 언급된 글이 퍼지면 순식간에 수백, 수천 번 공유됩니다 이런 글은 시간이 지나도 삭제가 어렵습니다.... </t>
  </si>
  <si>
    <t>blog.naver.com/eoqkrelff</t>
  </si>
  <si>
    <t>https://blog.naver.com/eoqkrelff/224061697282</t>
  </si>
  <si>
    <t>eoqkrelff</t>
  </si>
  <si>
    <t>요즘 *뮤니티에 올라오는 글 하나로 큰 피해를 입는 사례가 늘고 있습니다.
특정인의 이름, 기업 이름이 언급된 글이 퍼지면 순식간에 수백, 수천 번 공유됩니다
이런 글은 시간이 지나도 삭제가 어렵습니다.
그래서 생긴 직업이 바로 ‘디지털장의사’입니다.
디지털장의사는 온라인상 원치 않는 글, 사진, 영상, 기사 등을 삭제하거나
노출을 최소화하는 전문업체입니다.
왜 필요할까요? 인터넷은 기록이 빠르게 퍼지고
한번 올라가면 지우기 어렵기 때문입니다.
디지털명예회복센터는 이런 문제를 법적·기술적으로 동시에 접근해 안전하게 해결합니다.
혼자 신고해도 지워지지 않았다면 전문가 상담이 해답이 될 수 있습니다.
온라인에서의 명예는 곧 현실의 신뢰입니다.
늦기 전에 대응하는 것이 가장 현명합니다.
https://vo.la/qYaNQMJ</t>
  </si>
  <si>
    <t>https://postfiles.pstatic.net/MjAyNTExMDJfMTQ5/MDAxNzYyMDM4MjY4MDMw.1PbFynGVowGl2tf8lSY9_rlHkEmV4SE5u7-r68OJL5Mg.8SHm-1LItFqvUoHd3CYWVI_vgn76LnJDrGFjwNGOWbkg.PNG/%EC%82%AC%EC%9A%A9%EB%AC%B8%EA%B5%AC.png?type=w966|||https://postfiles.pstatic.net/MjAyNTExMDJfMzAg/MDAxNzYyMDM3MDUzNDA0.UwjGhplvgicIfuGcP3S3px5d2TIB39wqk905SAHl82kg.JXq_lZDish2mCzhcfMAIPJruQnoqBPSGSzDkRPMmJPcg.PNG/SE-0a2c8fb8-ba55-4aa1-9b2d-a0130103fa3f.png?type=w966|||https://postfiles.pstatic.net/MjAyNTExMDJfNzQg/MDAxNzYyMDM3MDU0MDky.pVI5IhQrZUjYUEjn0HYAh0KjV6YCuTcuzDr7qeiWKlQg.12YCDOEHsMMgwGWTv8dQfHC-qnxcOhn03u4agBP6BqYg.PNG/SE-645d4fc8-d146-4fb8-9b28-630dc3c30543.png?type=w80_blur|||https://postfiles.pstatic.net/MjAyNTExMDJfMTcg/MDAxNzYyMDM3MDU1Mjg5.EBrPJ1imUtaJwcSfV8_FXdITd559C9pcQu8vfACLbcUg.-sNkmq05zJ3TqH14d3uexRjavvoSc1BdixfYRfmXE8Mg.PNG/SE-83e0b341-c868-4be6-a46b-70b254c626dd.png?type=w80_blur|||https://postfiles.pstatic.net/MjAyNTExMDJfNTMg/MDAxNzYyMDM3MDUyMzk5.3JBxAUpRyKa2aC2gdlwG1pf1mRkogvPKpnar9EiuXrIg.l36a92HO1S6of8qtyFj2ipA-lmDXK3J2gZf3nkdoPxMg.PNG/SE-6d9c59bd-a9e1-41e8-b2ed-bbd1303eccac.png?type=w80_blur</t>
  </si>
  <si>
    <t>독일 PM 피엠 오토쉽 Autoship으로 더.. : 네이버블로그</t>
  </si>
  <si>
    <t xml:space="preserve">- 자동구매(Autoship)시스템 - 옵티멀셋(파워칵테일+리스토레이트) 정기구독 - 기간 : 3개월 구독조건, 30% 할인 매월124,940원 - 배송 : 3개월치(파워칵테일3Box+리스토레이트3Box) 3개월 단위로 배송됨... </t>
  </si>
  <si>
    <t>blog.naver.com/bonitacosmetic</t>
  </si>
  <si>
    <t>https://blog.naver.com/bonitacosmetic/222637987039</t>
  </si>
  <si>
    <t>bonitacosmetic</t>
  </si>
  <si>
    <t>여러분.~ 연휴 잘 보내셨나요.?!
새로운 2월달이네요.!
요번 한 달도 우리 같이
힘내봐요.!😄
PM 피트라인 오토쉽
오늘은, 오토쉽에 대해 알아볼게요.
제가 몇번 포스팅 하긴했지만,
아직 모르시는 분들이 있으실 것 같아요.~
* ABO란?
- 자동구매(Autoship)시스템
- 옵티멀셋(파워칵테일+리스토레이트) 정기구독
- 기간 : 3개월 구독조건, 30% 할인 매월124,940원
- 배송 : 3개월치(파워칵테일3Box+리스토레이트3Box) 3개월 단위로 배송됨
- 자동연장됨.
해제 하실경우는 쇼핑몰에서.
- 세포재생기간 100일!
그래서 3개월 단위 입니다.
- 종합비타민B군영양소 ➕ 액티바이즈
✔ 단품구매로 추가해서 드시길 추천!
혈관관리, 에너지 대사에 도움주는 B군 영양소!!
먼저 로그인을 하시구
오토쉽칸을 들어가셔서
신청하시구 결제,!!
저희 보니따 코스메틱
추천인 번호 코드 입니다.!
★ 8031426 ★
다들 이해 하셨을까용.~?
회원가보다
더 할인 된 가격이 오토십이에요.!
참고하셔요.~^^
남은 목, 금 화이팅하시구
주말 푹 쉬셔요.!
모든 문의는?!
보니따 코스메틱 - 네이버톡톡
▶피부타입에 맞는 화장품 상담과 교육하는 쇼핑몰 당일배송 &lt;일부제외&gt; {문의1:1톡톡}
talk.naver.com
제품 구매는?!
보니따코스메틱
1:1 에스테틱 화장품을 맞춤 처방하고 교육하는 보니따코스메틱. 피부과 관리실 처럼 집에서 홈케어 가능한 화장품 전문 쇼핑몰/ 이너뷰티를 위한 독일피엠제품도 함께 섭취하여 몸 속 건강도 함께 챙기세요 ★
bonitacosmetics.co.kr
오토십으로 더!
저렴하게 먹고 싶다면?
보니따 코스메틱
대표전화 010 - 7569 -7269</t>
  </si>
  <si>
    <t>https://postfiles.pstatic.net/MjAyMjAyMDNfMTg4/MDAxNjQzODc4MTg2MTkz.eMxixUeRw8fCA4FTtfUyxWlBCzAtJvZBKOvrx0H_kvQg.bI-oHUFpMCyY0iR8O2oi5Rs2kEFB7867Q1GbfaW3PQwg.JPEG.bonitacosmetic/SE-64067255-881b-445c-8ddc-ffb2cb761a23.jpg?type=w80_blur|||https://postfiles.pstatic.net/MjAyMjAyMDNfMjg3/MDAxNjQzODc4MzE1ODE1.MzHvPLNazq5hWeuL10VHTaJx8Kas5CBhF4agp6ihZzEg.TMEfpz4nYeJ20gs91x1eENB89POy6s1NX5uKM5gdtJQg.JPEG.bonitacosmetic/KakaoTalk_20211228_165850408_01.jpg?type=w80_blur|||https://postfiles.pstatic.net/MjAyMjAyMDNfMTk3/MDAxNjQzODc4MzE1ODU5.j0TGivsF0nY2UNAI_X7Px_QF8nXj9TGuPfo3OPjYsLMg.0td6Tvf9HfWkCRY95qvV7N9CGuzskTFU8nTYx5O0rgcg.JPEG.bonitacosmetic/KakaoTalk_20211228_165850408_02.jpg?type=w80_blur|||https://postfiles.pstatic.net/MjAyMjAyMDNfMjkw/MDAxNjQzODc4MzE1ODMx.6cf85a9cMPcQB4vDz0Cvsr61P2pKbM8HDzJXbUqh8dkg.VnGO4Zz03mpYa_YmQfVvwk7OCArzSLCB5Bz8d64csCgg.JPEG.bonitacosmetic/KakaoTalk_20211228_165850408_03.jpg?type=w80_blur|||https://postfiles.pstatic.net/MjAyMjAyMDNfMTE0/MDAxNjQzODc4MzE1ODM4.RMpfW8bJJ7aqZejf6Q8L-Ii8BXBTpXuHLts-kmZU0oYg.3Qts81zuDzc6D82zlYOBKsZ1OTT1JVVC2-_1PP7ylC4g.JPEG.bonitacosmetic/KakaoTalk_20211228_165850408_04.jpg?type=w80_blur|||https://postfiles.pstatic.net/MjAyMjAyMDNfMTgg/MDAxNjQzODc4MzE1ODA0.nZi6L5WCMuhVtuLUsKdYokSjgKigAl3Glp2wJMI78t8g.R5zmO4-CiiGXhGQWdAmKdmOYnmXN2KLRvIv4PDmipL8g.JPEG.bonitacosmetic/KakaoTalk_20211228_165850408_05.jpg?type=w80_blur|||https://storep-phinf.pstatic.net/linesoft_01/original_3.gif?type=pa50_50|||https://dthumb-phinf.pstatic.net/?src=%22https%3A%2F%2Fshop-phinf.pstatic.net%2F20210602_200%2F1622598190146o78xp_PNG%2F23656011203977826_1242466491.png%22&amp;type=ff500_300|||https://dthumb-phinf.pstatic.net/?src=%22https%3A%2F%2Ffile.cafe24cos.com%2Fbanner-admin-live%2Fupload%2Fjushinja2%2F679060fb-c57f-44f0-aca3-61312b88b767.jpeg%22&amp;type=ff500_300</t>
  </si>
  <si>
    <t>독일 PM 피엠 오토쉽 Autoship - 싸.. : 네이버블로그</t>
  </si>
  <si>
    <t xml:space="preserve">오토쉽은 옵티멀셋 구성으로 파는데요.~ 종합비타민B군영양소 ➕ 액티바이즈 ✔ 단품구매로 추가해서 드시길 추천! 혈관관리, 에너지 대사에 도움주는 B군 영양소!! 액티바이즈도 구매하셔서 같이 드시는... </t>
  </si>
  <si>
    <t>https://blog.naver.com/bonitacosmetic/222618073173</t>
  </si>
  <si>
    <t>다들 안녕하셨어요,!
힘겨운 월요일이 끝나가네요.
전 어제부터 스트레스가ㅋㅋ
😂
그래도 내일은 점심 출근이어서
그나마 다행일까요,,
에휴, 무튼 오늘은.!!
우리 지치고 힘든 몸을 달래줄
PM!!
을 싸게 드시는 법을 알려드릴게요.~
ABO, Autoship
ABO - 오토십, 자동구매 시스템
한마디로 그냥 정기주문으로 생각하시면 되셔요.~
우리가 회원가가 싸다해서,
가입해서 먹잖아요?
근데 이 아이는 그보다 더 할인 된 가격으로
구매할 수 가 있어요.!
3개월 주기로 제품 수령을 하실 수가 있으시구요.!~
1. 먼저 피엠 홈페이지에 로그인하기.!
2. 샵에 들어가서, 오토십 클릭.!
그리고
3. 신청 체크.!!~
4. 결제 중 ···
PM 피엠은,
따로 사시는 것보단
같이 사는게 훨 씬 이득이에요.!
본인이 결제해야하고,
아니면 타인 카드결제만 가능합니다.
다 하시면 이처럼 나와요.!
오토쉽은 옵티멀셋 구성으로 파는데요.~
종합비타민B군영양소 ➕ 액티바이즈
✔ 단품구매로 추가해서 드시길 추천!
혈관관리, 에너지 대사에 도움주는 B군 영양소!!
액티바이즈도 구매하셔서
같이 드시는 것이 좋아요.!
저희 보니따 코스메틱
추천인 번호 코드 입니다.!
★ 8031426 ★
다들 개별구매보단
이렇게 구매하시는 것이
더 싸게 주문하실수 있으시겠죠.??
오늘 하루도 정말 너무 고생 많으셨구
얼릉 푹 쉬셔요.!!~
모든 문의는?!
보니따 코스메틱 - 네이버톡톡
▶피부타입에 맞는 화장품 상담과 교육하는 쇼핑몰 당일배송 &lt;일부제외&gt; {문의1:1톡톡}
talk.naver.com
제품 구매는?!
보니따 코스메틱 : 네이버쇼핑 스마트스토어
▶건강과 피부관리로 자가 스킨 치료를 가능하게 하는 지식케어 {문의1:1톡톡}
bit.ly
오토십으로 더!
저렴하게 먹고 싶다면?
보니따 코스메틱
대표전화 010 - 7569 -7269</t>
  </si>
  <si>
    <t>https://postfiles.pstatic.net/MjAyMjAxMTBfMjgy/MDAxNjQxODA5NTI2MjUy.Tkl9DAF50hN4gX6zxVBaGgOsLIvMJofTOJY3opAxUUkg.MCvtVLvUqy9_NqBuCvMdKK60OkZY0_LVeUonG2K1FQEg.JPEG.bonitacosmetic/SE-f20462c9-d081-4c50-8291-262ff39a0562.jpg?type=w80_blur|||https://postfiles.pstatic.net/MjAyMjAxMTBfNTEg/MDAxNjQxODA5NDkzNDQ1.vm_-voP48mgCZxRF6GU8Sb0tc4aaCtNgg23_kJB-ZbIg.okBfC074VoiMCapwrBKSq1cTM5ub7N_kCObbfDM-bHgg.JPEG.bonitacosmetic/SE-3ea6f5cd-5bd3-4e18-a3f6-0ce8e283e9da.jpg?type=w80_blur|||https://postfiles.pstatic.net/MjAyMjAxMTBfMTky/MDAxNjQxODA5NzUwMDYz.N0d4RoYIcSsdmX8RXSGqwmCaLdCBbELJV2ZKHbrki5cg.RbLfLL7lhDdXJf38u-qdYRmwgBJrgt-d3JeJuOEPv10g.JPEG.bonitacosmetic/KakaoTalk_20211228_165850408_09.jpg?type=w80_blur|||https://postfiles.pstatic.net/MjAyMjAxMTBfMTg0/MDAxNjQxODEwMDI5ODA5.QaPuFVWf7pwlDljcYMYfxW5rUaz85RfPKYEmxIvzsYwg.yThODF--dP9zMVzvsVBvLDMEUFZrBfxMb5G9l_tqUPcg.JPEG.bonitacosmetic/SE-f1f987ce-4113-4a5f-963a-5126c446e16f.jpg?type=w80_blur|||https://postfiles.pstatic.net/MjAyMjAxMTBfNjkg/MDAxNjQxODEwMjM4ODQ4.GV_HkXWn3WByLd6WI1jnIgN44K92LucBxjkxcDrZLqIg.Y4l0B1Cu7gAprV2qUTSzURCgh7zEH-gcTpPqtV4hlPkg.JPEG.bonitacosmetic/SE-5e196bc9-4092-4c83-9001-906611d3571e.jpg?type=w80_blur|||https://storep-phinf.pstatic.net/linesoft_01/original_1.gif?type=pa50_50|||https://dthumb-phinf.pstatic.net/?src=%22https%3A%2F%2Fshop-phinf.pstatic.net%2F20210602_200%2F1622598190146o78xp_PNG%2F23656011203977826_1242466491.png%22&amp;type=ff500_300|||https://dthumb-phinf.pstatic.net/?src=%22https%3A%2F%2Fshop-phinf.pstatic.net%2F20210611_211%2F16233803798245fWpW_JPEG%2F24516214644479758_2133016869.jpg%3Ftype%3Do640%22&amp;type=ff500_300</t>
  </si>
  <si>
    <t>독일 피엠 PM 오토십 ABO 싸게 먹기.!! : 네이버 블로그</t>
  </si>
  <si>
    <t xml:space="preserve">1⃣ 옵티멀셋(파워칵테일+리스토레이트) 정기구독 2⃣ 기간 : 3개월 구독조건, 30% 할인 매월124,940원 3⃣ 배송 : 3개월치(파워칵테일3Box+리스토레이트3Box) 3개월 단위로 배송됨 4⃣ 자동연장됨. 해제... </t>
  </si>
  <si>
    <t>https://blog.naver.com/bonitacosmetic/222606966346</t>
  </si>
  <si>
    <t>여러분.!!
오늘 하루도 잘 지내셨나요.?!
ㅎㅎㅎㅎ
역시 집이 최고네요..😬
오늘은 독일피엠을 좀 더
싸게.!
드시는 법을 알려드릴게요.
샵가격도 싸지만
그보다 더.! 싼가격으로!!
여러분들의 돈은 소중하니까요.😘
오토십!! ABO (Autoship)
스타그룹
* ABO란?
- 자동구매(Autoship)시스템
♬ 오토십회원들은 매월 5+1 프로모션
최고 40%~45% 할인 프로모션에 참여자격이 주어집니다.
1⃣ 옵티멀셋(파워칵테일+리스토레이트) 정기구독
2⃣ 기간 : 3개월 구독조건, 30% 할인 매월124,940원
3⃣ 배송 : 3개월치(파워칵테일3Box+리스토레이트3Box) 3개월 단위로 배송됨
4⃣ 자동연장됨.
해제 하실경우 쇼핑몰에서 해지.
5⃣ 세포재생기간 100일!
그래서 3개월 단위 입니다.
6⃣ 종합비타민B군영양소 ➕ 액티바이즈
✔ 단품구매로 추가해서 드시길 추천!
혈관관리, 에너지 대사에 도움주는 B군 영양소!!
다들 유익한 정보
되셨을려나요.~
회원일 때 더 싸게 먹는 방법은
이미 다들 알고 계시겠지만
더욱 싸게 먹을 수도 있다는 것.!
알려드리고 싶었어요.!!
모든 문의는?!
보니따 코스메틱 - 네이버톡톡
▶피부타입에 맞는 화장품 상담과 교육하는 쇼핑몰 당일배송 &lt;일부제외&gt; {문의1:1톡톡}
talk.naver.com
제품 구매는?!
보니따 코스메틱 : 네이버쇼핑 스마트스토어
▶건강과 피부관리로 자가 스킨 치료를 가능하게 하는 지식케어 {문의1:1톡톡}
smartstore.naver.com
오토십으로 더!
저렴하게 먹고 싶다면?
보니따 코스메틱
대표전화 010 - 7569 -7269</t>
  </si>
  <si>
    <t>https://storep-phinf.pstatic.net/linesoft_01/original_2.gif?type=pa50_50|||https://postfiles.pstatic.net/MjAyMTEyMjhfNzEg/MDAxNjQwNjg3NDQzMDIy.Yi8qpVjK--SSNptxGcU9IciJH7vodf7B4gt-gNoGlyEg.uR0vRDqjAlkIwdIC0AhgUFvQKPECkcLCOxGqRNZOamgg.JPEG.bonitacosmetic/KakaoTalk_20211228_165850408.jpg?type=w80_blur|||https://postfiles.pstatic.net/MjAyMTEyMjhfMTQw/MDAxNjQwNjg5MTY5NDg3.UFFShSvgrtG7osJHEYNQ8mE6vs18Uq0QfY1UaH5Nhm4g.VKeRIKoiYXOSYG8UIwhMVSjDJXmBrfewtY3U42T39Ksg.JPEG.bonitacosmetic/KakaoTalk_20211228_165850408_01.jpg?type=w80_blur|||https://postfiles.pstatic.net/MjAyMTEyMjhfMjYz/MDAxNjQwNjg5MTY5NDk0.GPKVZoF0cbuW14zXMpJ5yoyamDLuuyI6eH2Oo1TKmAgg.3LFDzZuyBs5qnsbyAKavJt-vRGhZ7UuEfPekCTo-sxgg.JPEG.bonitacosmetic/KakaoTalk_20211228_165850408_02.jpg?type=w80_blur|||https://postfiles.pstatic.net/MjAyMTEyMjhfMzYg/MDAxNjQwNjg5MTY5NTEx.jmHhAyv1rbgmYRQ_x-RTYzIXVWQ0v36WnUQ016FBHhcg.Zu0fNihVNKMYwtPXYrTOt2YBcwMYONjFkpAJUsBW8TMg.JPEG.bonitacosmetic/KakaoTalk_20211228_165850408_03.jpg?type=w80_blur|||https://postfiles.pstatic.net/MjAyMTEyMjhfMTIy/MDAxNjQwNjg5MTY5NTEx.7V_13yPTIPB7yy-6NVBBbkrAYVWPzmvYUbYiGTxP7y4g.E_Am3OEIy1FPo0cQI6zeeoUYtlkVYePdIXI2bPXU3j0g.JPEG.bonitacosmetic/KakaoTalk_20211228_165850408_04.jpg?type=w80_blur|||https://postfiles.pstatic.net/MjAyMTEyMjhfMjA0/MDAxNjQwNjg5MjA0NDU4.dCtk-io_r19VnwxNL61F996c3sMk8zJP_qdlnHu55j4g.nf-U7NUEpwd_2xBjVz4k9JQF7pSTWuLo8VqHfRshH4Mg.JPEG.bonitacosmetic/KakaoTalk_20211228_165850408_05.jpg?type=w80_blur|||https://postfiles.pstatic.net/MjAyMTEyMjhfMTkw/MDAxNjQwNjg5MjA0NDMz.H5jGS7iqcQss_AgCCKFYrkZJjvYH7veFaGhMakKKD88g.AVgj0hWprJ3zUs60teJHrt05g52cfHq61qju9vnbPigg.JPEG.bonitacosmetic/KakaoTalk_20211228_165850408_11.jpg?type=w80_blur|||https://postfiles.pstatic.net/MjAyMTEyMjhfMTU4/MDAxNjQwNjg5MjA0NDUw._MCzGC6Y49kKFruUjUIAJWp3SlTqfAiWIBXB2wKofXog.JQZSPTb8WLnnFn5lfiD5lKU-LmVu_sRAZgmlZmQVp2gg.JPEG.bonitacosmetic/KakaoTalk_20211228_165850408_08.jpg?type=w80_blur|||https://postfiles.pstatic.net/MjAyMTEyMjhfMTky/MDAxNjQwNjg5MjA0NDk1.3hQUZlufE8FOA7aFUyMPCBKDen-cc6AkcLProl54ogwg.yPdLkMTHs1hHLgfF_UQhX___iaPZQiA-0DZrjTXsMWwg.JPEG.bonitacosmetic/KakaoTalk_20211228_165850408_09.jpg?type=w80_blur|||https://postfiles.pstatic.net/MjAyMTEyMjhfMTAw/MDAxNjQwNjg5MjA0NDYw.XEqB9g4yyEMCcAL7DyvVyIOoe6H97vqPXSKQMt8xA1gg.vhAHrIkN1U5OUFPRjCZu1d-1y9aoVO9LQ7HDK0gsmHog.JPEG.bonitacosmetic/KakaoTalk_20211228_165850408_10.jpg?type=w80_blur|||https://postfiles.pstatic.net/MjAyMTEyMjhfMTQz/MDAxNjQwNjg5MzQxODc1.3Mgeuyp2SK_PmUr-aOntNOfaV50iFylixqJFi3iYydkg.V6oOPk8eX7HhDjYj8LdZVxpaLeZhY5Ujbg2yubYq6ykg.JPEG.bonitacosmetic/KakaoTalk_20211228_165850408_06.jpg?type=w80_blur|||https://postfiles.pstatic.net/MjAyMTEyMjhfMjA1/MDAxNjQwNjg5MzQxODky.oBKiAPynKE308WZkh_pusezp7-CDkQDh9RLqhI6VLVIg.kOh0V7SUIgSV4EUWzNs-NtXGk1C-zkgeEHaRCInlJ8wg.JPEG.bonitacosmetic/KakaoTalk_20211228_165850408_07.jpg?type=w80_blur|||https://storep-phinf.pstatic.net/linepower_01/original_20.gif?type=pa50_50|||https://dthumb-phinf.pstatic.net/?src=%22https%3A%2F%2Fshop-phinf.pstatic.net%2F20210602_200%2F1622598190146o78xp_PNG%2F23656011203977826_1242466491.png%22&amp;type=ff500_300|||https://dthumb-phinf.pstatic.net/?src=%22https%3A%2F%2Fshop-phinf.pstatic.net%2F20210611_211%2F16233803798245fWpW_JPEG%2F24516214644479758_2133016869.jpg%3Ftype%3Do640%22&amp;type=ff500_300</t>
  </si>
  <si>
    <t>독일PM 오토십(ABO)세트 주문방법 건강쥬스.. : 네이버블로그</t>
  </si>
  <si>
    <t xml:space="preserve">있답니다 옵티멀셋 (파워칵테일+ 리스토레이트) 정기구독 오토십(ABO)란 자동구매 시스템을 의미하며, 3개월간 주기로 배송되는 자동결제 주문이예요 어차피 꾸준하게 드셔야 하니, 정기주문으로... </t>
  </si>
  <si>
    <t>blog.naver.com/skysee99</t>
  </si>
  <si>
    <t>https://blog.naver.com/skysee99/222505242549</t>
  </si>
  <si>
    <t>skysee99</t>
  </si>
  <si>
    <t>안녕하세요 여러분의 건강지킴이
라쁘앙입니다!
지금까지 제가 독일피엠 쥬스에 대해
여러 포스팅을 해봤는데요
(앞으로도 쭈욱~ 지켜봐주세요!!)
입소문과 SNS를 통해서 독일 건강쥬스에 효과에 대해서 많이들 알아 보시고, 검색을 통해서 제 블로그에 오셔서
제품문의 상담이 늘었어요! 감사합니다 ♥
앞으로도 정직한 리뷰와 친절 상담으로
찾아뵙겠습니다.
오늘은 포스팅은 효과좋은
독일 PM 건강쥬스를 보다 더 합리적인
가격으로 살 수 있는 오토십세트를 소개하려해요.
좋은제품을 먹고, 효과를 보니
사랑하는 가족들과 소중한 지인분들께
소개도 하고 선물도 하다보면
저렴하게 구매하시길 원하실텐데요~~
피엠인터네셔널 독일PM에는
오토십 ABO 세트가 준비되어 있답니다
옵티멀셋 (파워칵테일+ 리스토레이트)
정기구독
오토십(ABO)란 자동구매 시스템을 의미하며, 3개월간 주기로 배송되는 자동결제 주문이예요
어차피 꾸준하게 드셔야 하니,
정기주문으로 회원가에서도 추가할인 혜택을 놓치면 억울하시겠죠?
3개월분 오토십 혜택으로 32% 저렴하게~
매월 124,940원으로 알뜰하게
배송은 3개월분
파워칵테일 3 box +리스토레이트 3 box 를
받아보실 거예요 (3개월 단위로 배송)
3개월분 선지급
3개월분 목돈 결제 No
결제는 1개월 씩 부담없는 가격으로~!
오토십세트에 들어있는 파워칵테일
저는 아침쥬스로 매일 공복에 한포!
(물 250ml) 준비하시고 파우치 한포 시작해요
독일 PM쥬스 피트라인 파워칵테일 먹는 법과 효능, 정품으로 싸게 사는 법
안녕하세요 요즘같이 계절이 바뀌는 환절기에는 면역력관리가 더 중요한 건 다들 알고 계시죠 또한 시국이 ...
m.blog.naver.com
소비자가 144,500원 → 회원가 115,600원
식후, 자기전에 먹는 리스토레이트
체내에 쌓인활성산소 해독쥬스
숙면+디톡스+다이어트 한번에 ok
물 250ml에 한포, 식후에 한번
자기전에 한포로 건강한 피부와 모발,
뼈 건강까지 도움을 주는 리스토레이트
소비자가 39,000원 → 회원가 31,200원
파워칵테일+리스토레이트는 개별 소비자가로
구매시 183,500원이지만,
회원가입 (파트너 가입) 후에
오토십으로 구매하시면 124,960원
무려 한달에 58,540원이나 절약할 수 있는
★꿀팁★
© averye457, 출처 Unsplash
오토십 세트는 카드결제만 가능하고,
결제일은 5일, 15일 고객님이 편하신 날로 선택 하시면 끝!!
매달 124,960원 × 3개월 (첫달포함)
4개월째 제품을 다시 받는 시스템으로 운영됩니다. 3개월마다 귀찮게 선택안해도
자동연장됩니다 ( 쇼핑몰에서 해지가능)
독일피엠 건강쥬스 3종세트
저는 오토십세트 + 액티바이즈 구성을
추천 드리는데요 독일피엠 3종이라고도
불릴 정도로 많은 분들이 찾아주고 계세요
산소쥬스라 불리는 액티바이즈는
비타민 B군의 총 집합이라고 불리며,
오후 2~3시경 정수 120ml에 3스푼으로
빠른 피로회복과 지속적인 에너지 공급까지!
회원가입 후,
오토십세트 + 액티바이즈로
독일피엠 건강쥬스 3종세트 구입하시고,
매일매일 건강함을 느껴보세요!!
피엠인터네셔널 회원가입
(파트너 가입) 하실 때, 후원 코드가 필요해요
피엠인터네셔널 회원가입 추천인 번호
추천인 후원 코드
8237895
회원가입, 독일피엠 제품 관련
문의는 언제든지 전화 주세요
☎ 010-2415-3778
피엠인터내셔널
독일 직접판매 업체, 건강기능식품, 화장품, 단백질 보충용 식품 등 판매
www.pmi-korea.com</t>
  </si>
  <si>
    <t>https://storep-phinf.pstatic.net/linesoft_01/original_2.gif?type=pa50_50|||https://storep-phinf.pstatic.net/linesoft_01/original_3.gif?type=pa50_50|||https://postfiles.pstatic.net/MjAyMTA5MTRfMTgx/MDAxNjMxNTg5MDIzOTYz.IHSfPlnKpxaxRFK60n2fazA7J6d0KlWBpzSgoCuAo8og.04fRWy0XDWRFi22aWatj1Rg4fJWms41cCzpI7_1wTl0g.JPEG.skysee99/%EC%A0%9C%EB%AA%A9%EC%9D%84_%EC%9E%85%EB%A0%A5%ED%95%B4%EC%A3%BC%EC%84%B8%EC%9A%94_-001_(19).jpg?type=w80_blur|||https://postfiles.pstatic.net/MjAyMTA5MTRfMTQ0/MDAxNjMxNTg5MTk4MzQ5.9XyZeFHfGb0eRL8fm421I-vesmVfvS-yNvoe4HMuBEwg.wRRlyIQTtE_OeC2VeEWZfFq5spXyWEipafbwRPtaW7cg.JPEG.skysee99/%EC%98%A4%ED%86%A0%EC%8B%AD%ED%98%9C%ED%83%9D.JPG?type=w80_blur|||https://postfiles.pstatic.net/MjAyMTA5MTRfMjAz/MDAxNjMxNTg5NDgyOTM3.BBWyB8XCvhU0OJtnANmjotvny5GI8t8H-IPBf5-oDrYg.A1JT2qh1_Bkv3TK_aiZz3MeKmqUgupwNZzAEPxDtIf4g.JPEG.skysee99/%EA%B1%B4%EA%B0%95%EC%9C%A0%EC%A7%80.JPG?type=w80_blur|||https://dthumb-phinf.pstatic.net/?src=%22https%3A%2F%2Fblogthumb.pstatic.net%2FMjAyMTA5MDZfMTUx%2FMDAxNjMwOTMyMTkxMDUx.k1nhUj8MPWFi_lHBAPzaIDjYyPQWfnMBNeJ3uToGviQg.iuvnV1kWjVV5IgdpimKznsGMJuzirh4w4JpmKEdebcMg.JPEG.skysee99%2F20210906213432.jpg%3Ftype%3Dw2%22&amp;type=ff500_300|||https://storep-phinf.pstatic.net/linesoft_01/original_4.gif?type=pa50_50|||https://postfiles.pstatic.net/MjAyMTA5MTRfMTkx/MDAxNjMxNTkxNjU5MDE0.X4Ekrbm1p6BCmrKfsnZsv394A8nWS8xnox8nbdPAhz0g.xVsEBRNVYwlQmE8pTrbH7_Bp3Lg_L3-8X2ZwxIj2oKUg.JPEG.skysee99/20210913%EF%BC%BF153118.jpg?type=w80_blur|||https://postfiles.pstatic.net/MjAyMTA5MTRfMjg1/MDAxNjMxNTkxNjU5Njgx.PZA2xH__9MJSM5c7CjHmSHme4fBn0I-8xK0m0X1zC6cg.Nz1KPJ_rpkSSzxzWwUDalmoZjrbCniLiWcPgtRTGpbUg.JPEG.skysee99/20210913%EF%BC%BF153402.jpg?type=w80_blur|||https://postfiles.pstatic.net/MjAyMTA5MTRfNjkg/MDAxNjMxNTkxNjYwNzA0.JEKQUsABLOxpkWl78wSpmHhWufIob8iAIV2DtKlZfhsg.mmjVSb43hZV1gx7UEsZx4dyL4b66Cb5JVAKbjzWMPQ0g.JPEG.skysee99/20210913%EF%BC%BF153443.jpg?type=w80_blur|||https://postfiles.pstatic.net/MjAyMTA5MTRfNjQg/MDAxNjMxNTkxNjYxNDUz.7p5UnWjS4KRRlGNRcKrAd1F_dX2WlTxbafNrbPrCMwQg.Tgq-oIaXjv8TfxvfNiD32GsCMoxq6PBlsTShRpBJ-Isg.JPEG.skysee99/20210913%EF%BC%BF153453.jpg?type=w80_blur|||https://postfiles.pstatic.net/MjAyMTA5MTRfMTM4/MDAxNjMxNTkxNzMzMzEy.saEWM8nqQ5BOTeeNnfIAZT1iYbkjj7puN3iGJ1Iagj8g.ihwJlDaVSzVQSstZUIo65zVjhxKcSckOOJ0GJa7n8uIg.JPEG.skysee99/20210904%EF%BC%BF081853.jpg?type=w80_blur|||https://postfiles.pstatic.net/MjAyMTA5MTRfMjMx/MDAxNjMxNTkxNzMzOTkx.UCVLa5iRDnuotS8sEpaXvApqwyso2KEfTKbeDF9KeZUg.-o95Qpnlxr-UUgqhkXYb1JJhQfhOUb_34Apyzc9LKeEg.JPEG.skysee99/20210903%EF%BC%BF182452.jpg?type=w80_blur|||https://postfiles.pstatic.net/MjAyMTA5MTRfMjUy/MDAxNjMxNTkxNzU2Njk5.uUeTThKH8M7KErJxnHvpVtpXrbGBcb1XjSnkwXNSfGYg.KK-E827ggWvIFnLYIwOIGbK5c9DGbtNWyuPoQolcKBQg.JPEG.skysee99/photo-1589758438368-0ad531db3366.jpg?type=w80_blur|||https://postfiles.pstatic.net/MjAyMTA5MTRfNTEg/MDAxNjMxNTkyMDU5MDU1.fynfM4SWgPOfX4uRLsOvb0lUVyxe3Lw-LWhBNQvpNkgg.LzBRVPOVRRvoUK0X0crZpV8iL8yw4sKeUCNp_vxZSbUg.JPEG.skysee99/1631163066652.jpg?type=w80_blur|||https://postfiles.pstatic.net/MjAyMTA5MTRfMjkx/MDAxNjMxNTkyMTE2MjQ5.MQEJJl0CqE3D5F1eD-6WLTlb7wXyIY6UfNs2BAfy7Skg.4mevcsz02nxUtNSZnE_uhKM38P3aIE6mx4qUMggcYZ4g.JPEG.skysee99/20210913%EF%BC%BF151828.jpg?type=w80_blur|||https://postfiles.pstatic.net/MjAyMTA5MTRfMzMg/MDAxNjMxNTkyMTE2ODgx.YVsmitnZcI3F3cGLbAD3ye4iccgN0O_nINb8dbQyWRIg.xmig1mbILmMbGVipN9hku4h_hNTUAGJzYhAJh29tHzEg.JPEG.skysee99/20210913%EF%BC%BF151911.jpg?type=w80_blur|||https://storep-phinf.pstatic.net/linesoft_01/original_5.gif?type=pa50_50|||https://postfiles.pstatic.net/MjAyMTA5MTRfNzQg/MDAxNjMxNTk0NzIwNzcz.75lxamlJWKSn6zkdjAk9ifx4yUYOUZm4TuqEasNd1U8g.KJcmuaNqfAW2tVY8Yi95o87BlvJ8J8H4FFhfJExVznog.JPEG.skysee99/%EC%B6%94%EC%B2%9C%EC%9D%B8%EC%BD%94%EB%93%9C.jpg?type=w80_blur|||https://dthumb-phinf.pstatic.net/?src=%22http%3A%2F%2Fwww.pmi-korea.com%2Fresources%2Fimage%2Fcommon%2Fsns_logo.png%22&amp;type=ff500_300</t>
  </si>
  <si>
    <t>하려해요</t>
  </si>
  <si>
    <t>010-2415-3778</t>
  </si>
  <si>
    <t>셀플러스 코리아를 소개합니다! : 네이버 블로그</t>
  </si>
  <si>
    <t xml:space="preserve">셀플러스 코리아는 어떤 기업인가요? 셀플러스 코리아는 엣지 단에서의 데이터 로깅 및 분석 기술을 중심으로 성장해온 기술 기반 기업입니다. 우리는 Jetson 플랫폼을 비롯한 고성능 SoC 기반의 하드웨어... </t>
  </si>
  <si>
    <t>blog.naver.com/cellpluskorea</t>
  </si>
  <si>
    <t>https://blog.naver.com/cellpluskorea/224060144145</t>
  </si>
  <si>
    <t>cellpluskorea</t>
  </si>
  <si>
    <t>셀플러스 코리아는 어떤 기업인가요?
셀플러스 코리아는 엣지 단에서의 데이터 로깅 및 분석 기술을 중심으로 성장해온 기술 기반 기업입니다.
우리는 Jetson 플랫폼을 비롯한 고성능 SoC 기반의 하드웨어 설계와, 대용량 멀티센서 데이터를 실시간으로 수집·저장·처리할 수 있는 엣지 데이터 로깅 시스템을 자체 기술로 개발해 왔습니다.
이러한 기술력은 자동차, 로봇, 산업 자동화 등 다양한 분야의 센서 데이터 분석 및 알고리즘 개발 환경 구축에 활용되고 있습니다.
자율주행 개밡팀과의 협업 속에서 찾은 새로운 방향
셀플러스 코리아는 초기부터 자율주행 및 ADAS 알고리즘 개발팀과 긴밀히 협업하며,
센서 융합 데이터의 취득과 분석을 지원해 왔습니다.
하지만 현장에서 반복적으로 부딪힌 문제는 하나였습니다.
아무리 알고리즘이 발전해도, 결국 그 판단은 주어진 센서 데이터의 한계 안에서 이루어진다
즉, 카메라·LiDAR·레이더만으로는 야간이나 악천후 속 객체 인식이 불가능하다는 것입니다.
이는 자율주행 개발에서 오래된 숙제였고, 그 공백을 메울 수 있는 새로운 센서 기술이 필요했습니다.
열화상 카메라로 확장한 이유
셀플러스 코리아는 이 기술적 한계를 돌파하기 위해, 기존 엣지컴퓨팅 역량을 기반으로 AI 열화상 카메라 솔루션 분야로 확장했습니다.
단기적으로는 ADAS의 일부 기능인 Night Vision 시스템을 통해 운전자에게 보조 시야를 제공하고,
장기적으로는 완전 자율주행(레벨 4 이상) 환경에서 객체 인식(OD, Object Detection)을 보조하는 센서 레벨 솔루션으로 발전시키는 것을 목표로 하고 있습니다.
열화상 카메라는 단순히 온도를 측정하는 장비를 넘어, AI 기반의 환경 인식 센서로 진화하고 있습니다.
셀플러스 코리아는 이 새로운 시장에서 엣지 컴퓨팅과 AI 융합 기술을 결합한 차세대 열화상 플랫폼을 구축해 가고 있습니다.
셀플러스 코리아의 비전
고해상도 열화상 카메라의 대중화를 선도하는 셀플러스 코리아는 이미 국내에서 로봇, 국방, 보안/감시 등 여러 분야에 열화상 카메라를 공급하고 있는데요.
셀플러스 코리아가 무료로 제공하는 온도 분석툴 'Cellplus studio Lite'
열화상 카메라 뿐만 아니라 쉽고 유용한 온도 분석툴인 'Cellplus Studio'의 Lite 버전을 무료로 제공하여, 초보자부터 전문가까지 누구나 편하게 열화상 카메라를 사용할 수 있도록 하고 있습니다.
셀플러스 코리아는 고해상도 열화상 카메라와 AI를 결합한 실용적 솔루션으로 야간과 악천후의 한계를 넘어,
더 안전하고 똑똑한 이동과 산업 환경을 만들어가겠습니다.</t>
  </si>
  <si>
    <t>https://postfiles.pstatic.net/MjAyNTEwMzFfMTcx/MDAxNzYxODg1OTg5MDU5.u2uhpYTYaeRgSqcmj0zSF0T9MDazBKhmzxsLs8IF9Hog.lKLPuXFe8XK5SQRRpyRRdWlGWJJl72iOXsLb3ejoNWwg.PNG/image.png?type=w80_blur|||https://postfiles.pstatic.net/MjAyNTEwMzFfOTEg/MDAxNzYxODkxOTgzODg4.Hqq6kY2R0QD1VUls9EvncTEFLbTRzI-5mlW9zFlZ2WUg.gOAvE3T5MuQiuDVoS5kEvtZJzvKTZ84aRWu1dxbfSWMg.JPEG/%EA%B7%B8%EB%A6%BC1.jpg?type=w80_blur|||https://blogfiles.pstatic.net/MjAyNTA5MjZfMTMx/MDAxNzU4ODY2NTQyMTcw.8GkYTRT2pBgP5xrmXBdf9HW42ANBtY9VtivA1GsHmBEg.7Ge70XUFwm-Vg_PsQ5LgzjwQmglr4xktFfP1TRGTNuQg.PNG/%EC%A0%9C%EB%AA%A9%EC%9D%84_%EC%9E%85%EB%A0%A5%ED%95%B4%EC%A3%BC%EC%84%B8%EC%9A%94_-001_(2).png?type=w1</t>
  </si>
  <si>
    <t>스위트페이지 X 다빈치 심포니 음료 클래스 후.. : 네이버블로그</t>
  </si>
  <si>
    <t xml:space="preserve">기회로 #셀플러스 사의 #스위트페이지 그리고 #다빈치 의 콜라보로 진행 된 #심포니음료클래스 를 다녀와서 후기 남겨봅니다. 후기 보시고 다음에 또 이런 행사를 셀플러스 또는 다빈치에서 진행하는걸 보게... </t>
  </si>
  <si>
    <t>blog.naver.com/dwl_coffee</t>
  </si>
  <si>
    <t>https://blog.naver.com/dwl_coffee/224059246809</t>
  </si>
  <si>
    <t>dwl_coffee</t>
  </si>
  <si>
    <t>안녕하세요 (..)('')
경기 광주에서 배달 포장 전용
까페를 운영하고 있는
#도웅리커피 입니다 :)
오랫만에 좋은 기회로
#셀플러스 사의 #스위트페이지
그리고 #다빈치 의 콜라보로 진행 된
#심포니음료클래스 를 다녀와서
후기 남겨봅니다.
후기 보시고 다음에 또 이런 행사를
셀플러스 또는 다빈치에서
진행하는걸 보게 되신다면
꼭! 다녀와보시길 강추 드립니다 :)
이번 클래스는
셀플러스의 R&amp;D팀장이자
다빈치 엠베서더를 하고 계신
고은미 팀장님과
다빈치의 R&amp;D 팀장을
맡고 계신 고은희 팀장님이
진행해주셨습니다 :)
셀플러스의 고은미 팀장님(우)은
직접적인 시연을 위주로 맡으셨고
다빈치의 고은희 팀장님(좌)은
제품의 특성, 레시피 관련 설명을
주로 맡아서 진행해주셨어요
두 분 성함이 거의 자매 처럼
비슷하신데 가족은 아니십니다^^
(사진은 말씀하시는 중에 찍게 된게 대부분이라
누가 되지 않기 위해 모든 사진은
얼굴 모자이크 처리합니다 양해부탁드려요~)
과천 셀플러스 스튜디오에서
레시피 교육, 시연회, 시상 등..
은근히 방문 이력이 있는데
오랫만에 가게 되서 반가웠어요 :)
셀플러스스튜디오
경기도 과천시 과천대로7길 33 디테크타워 A동 1202호
저희처럼 까페를 운영하는 사장님들
예비 사장님들, 취미로 홈까페 즐기는분들
음료에 관심이 있는 분들 등 다양한 분들이
클래스에 관심이 있으시더라구요
셀플러스의 레시피 클래스는
몇 번 들어봤지만..
다빈치는 까페쇼 행사 부스에서 본
시연회 말고는 따로 레시피 교육을
들어 본 적이 없어서
오늘 셀플러스에서 진행한
#스위트페이지 X #다빈치 가
함께한 이 클래스가 너무나
궁금했고 기대 됐어요
음료 레시피 교육, 시연회 등은
이런 식으로 진행이 되요
대표 시연 강사님이
앞에서 메뉴 설명과 함께
시연을 하고
뒤에서는 시음을 위해
같은 음료를 R&amp;D팀원분들이
만드시고 서빙해주세요
참석하면 열심히 보고
사진찍고, 또 마셔보면서
내가 원하는 맛, 생각치 못했던 조합
요즘 유행하는 맛, 요즘 고객들이 원하는 맛
이런 것들에 대한 정보를 얻고
또 이것을 활용, 응용 할 수 있어서
저희 처럼 매장을 운영하는 사장님들껜
너무너무 추천하고 싶은 교육이에요
물론..가게를 잠깐 닫고 또는
직원분에게만 맡기고 자리를 비우는게
좀 부담이 되실 수도 있겠지만..
막상 다녀오면 많은 메뉴를 갖추는데
실직적인 도움이 되고..
개인적으로는 정신적으로도
리프레쉬가 되더라구요^^
이렇게 시연회에서 보고 또
레시피까지 얻어와도
당장 만들어 볼 재료가 없으면
가게에서 사용중인 재료들 중
비슷한 걸로 대체해서 만들어 보거나
꽂혀서 바로 주문해서
만들어 보게 되는데요~^^
오늘 클래스에서는
시연해주신 음료를
모두 만들어 볼 수 있도록
사용하신 재료의 샘플을
셀플러스 그리고 다빈치에서
이렇게 꼼꼼하게 다 챙겨주셨어요
이 외에도 레시피 북을
선물로 주셨거든요
이거 진짜 저희 까페 잇템중 하나였는데
파란색, 빨간색 셀플러스 레시피북..
2년전엔가? 까페쇼 셀플러스 부스에서
구경하다가 사왔었거든요~
오늘 또 한권 이렇게 선물을 받게 되서
홈 까페 즐기는 지인에게
선물로 주면 너무 좋을 것 같아요^^
정말 감사합니다!!
다빈치에서도 이렇게
4가지 버전의 레시피북을
주셨거든요
노란색 시그니쳐북은
저희가 다빈치 제품을
구매하고 사은품으로
보내주셨던 책자인데
너무 유용하게 잘 보고 있었거든요
그런데 이거 플러스
크림북, 스파클링북, 칵테일북은
가지고 있던게 아니라서
더 기대 되고 반가운 선물이었어요
여기에 또 다빈치 시럽 펌프
머신 청소 타블릿
셀플러스 글라스와
민트라벨 텀블러까지..
아니.. 무료 이벤트 클래스에서
이렇게 두손 가득하게
챙겨주셔서 뭔가..
자취한 자식이 본가에 갔다가
부모님이 주섬주섬 싸주시는
보따리를 들고 오는 느낌이었어요..
셀플러스 스튜디오 관계자님들과
다빈치 코리아 관계자분들께
너무 감사드립니다 (..)('')
개인적으로 오늘 시연회에서 배우고
맛 본 메뉴들 전부 맛있고 맘에 들었지만
오늘 저의 원픽 메뉴는
화이트 자두 쥬빌레 입니다.
자두익스에 과육이 들어있고
음료에 소금도 미량 들어 가는게
조금 아쉬울 수 있는 음료의 맛을
커버해줘서 너무좋았고
화이트초코도 들어갔는데
메인 재료인 자두와 리치의 맛에
지장 없이 음료에 무게감을 주었고
자두와 리치향이
오랫동안 유지되어서 맛있었습니다.
잘 연습해서
매장에서 활용해 보려고 합니다
너무 감사합니다 (..)('')/
후기 끝까지 봐주셔서 감사합니다.
예비 까페 사장님들
이미 까페 운영하시는 사장님들
셀플러스 그리고 다빈치의
레시피 교육 꼭 한 번이라도
들어 보시길 강추 드립니다 :)</t>
  </si>
  <si>
    <t>#도웅리커피, #셀플러스, #스위트페이지, #다빈치, #심포니음료클래스</t>
  </si>
  <si>
    <t>https://postfiles.pstatic.net/MjAyNTEwMzBfOTEg/MDAxNzYxODE2NjEwMTk4.0rU_1eM80yywIW_0z-ZO4nC6uislhhd1Fz7RvpWVMUwg.FckTYysnC2H_bAibwAsm8T-ZRsXoCHNgzr8_BHQeuNQg.JPEG/SE-22c31313-a016-4e03-a7a2-a537749035db.jpg?type=w80_blur|||https://postfiles.pstatic.net/MjAyNTEwMzBfMjM3/MDAxNzYxODE1MzgyMDc3.q17tSU1peO4SKnMiePMOPULD9mS1i6DD-JYKUqpm1Q4g.0FBtWgyTFebd0Pl7E-W-kg1YA5gWM-x2LHCXe5sn6csg.JPEG/SE-652d8923-edb9-4e5f-8d30-8028db1b197d.jpg?type=w80_blur|||https://postfiles.pstatic.net/MjAyNTEwMzBfMTM5/MDAxNzYxODE1NTcxMTkz.ixvoHSLE-1UjOmToKleaeu7TODVpWlWIeGvJsGGVJEQg.7tvgSXTF154PD9dDEpuE6-ucljqEfWOOpr5bqsHfDzog.JPEG/SE-aa098add-62bb-4386-8d94-14373174b127.jpg?type=w80_blur|||https://postfiles.pstatic.net/MjAyNTEwMzBfMjI1/MDAxNzYxODE2OTIyMjg2.h7hEUz6aDOXZVBW-ULx7BQkVsXI24_GFY-My5_vmTj0g.a24gUmhH_aOu628v_l5ih01NNZAroCx34K_1O-6ZHqsg.JPEG/SE-b6473c10-2273-4fdc-86ac-fad43c76a3fe.jpg?type=w80_blur|||https://postfiles.pstatic.net/MjAyNTEwMzBfMTQ3/MDAxNzYxODE2OTI2MDQ1.Zu8fWaYfBQa_t72WBv58Bk0cubu3UhQ-P9aGHUj5q20g.DdbxXAx0YoTFuIUble9bgJnHbzCgVOn1gwvO6-ZW9eYg.JPEG/SE-201d62ff-8fe9-4f11-873e-7fc505312bec.jpg?type=w80_blur|||https://postfiles.pstatic.net/MjAyNTEwMzBfMjE5/MDAxNzYxODE3MDY2NDk2.Puls93lQbEudxVpRMQQrgweMl6fNLbQ4lBOtV59l3_Ag.iW00DJmdAl9Zu2GJaZROsDG50rMxPjGm6CQiikR7TnMg.JPEG/SE-97993c44-2d64-4db2-aace-fda8bf7ec3ce.jpg?type=w80_blur|||https://postfiles.pstatic.net/MjAyNTEwMzBfNjcg/MDAxNzYxODE2OTMyOTY2.uFD8X5TsHDsx1tGzm5RNdVFJf4PhSZzkclmtKaS4MhEg.QZrXY-RRm33IcI--UKuCoW11K_npTXqoQ_8kglX6fQ0g.JPEG/SE-a4aa8116-0ac0-4885-8dc2-400d9882b747.jpg?type=w80_blur|||https://postfiles.pstatic.net/MjAyNTEwMzBfMjkx/MDAxNzYxODE2Mjc0MTk2.ZWDDOpn1Weuj7zDfQABluDThk_JVfuxZrrGxwWkxvEog.b7qlW9cU33PiVeAh4K2_qb9uC-Xa5lea3Xi5q94BjHog.JPEG/%EC%85%80%ED%94%8C%EB%9F%AC%EC%8A%A4%EB%A0%88%EC%8B%9C%ED%94%BC%EA%B5%90%EC%9C%A1%EB%8B%A4%EB%85%80%EC%99%94%EC%96%B4%EC%9A%94.jpg?type=w80_blur|||https://postfiles.pstatic.net/MjAyNTEwMzBfMTk5/MDAxNzYxODE2MjAwMTM5.6URJMMEe44CypWG2JJ2EHK5V8cws_mnWoUv6_EYzzrAg.e29pr7MvqV7HIbx4FwuNOBOlgrdkHM6JznITnBTaODUg.JPEG/%EB%8F%84%EC%9B%85%EB%A6%AC%EC%BB%A4%ED%94%BC%EC%85%80%ED%94%8C%EB%9F%AC%EC%8A%A4%EA%B5%90%EC%9C%A1%ED%9B%84%EA%B8%B0.jpg?type=w80_blur|||https://postfiles.pstatic.net/MjAyNTEwMzBfMjUw/MDAxNzYxODE4OTgyMzEw.bT7-bf4POO-l96RAAFTqGWfV07tWg-2dlYIIbh1sBT4g.aLnrWaH85uOOG_zWS7ol28hqkw7lZwldlaii68QNs5og.JPEG/SE-68fe05dd-4fdf-40d0-b6af-681426b7d780.jpg?type=w80_blur|||https://postfiles.pstatic.net/MjAyNTEwMzBfMjI1/MDAxNzYxODE4OTc4NzI5.VZZHTXaXAdlE-ypaKYjoFpf7UI4PJECj9MsQkaLfNgAg.Boe6ev4RFuNE_OLRSA8hGQwvJ2FD_P5S7cvB4LXKN2wg.JPEG/SE-3b71d4d8-9b80-4196-b286-b2afd3f90ad4.jpg?type=w80_blur|||https://postfiles.pstatic.net/MjAyNTEwMzBfNjIg/MDAxNzYxODE4OTgwNDUx.V7Fnx1EreQZa65Iy9KA7VLPpxf8fE9HVISM-G8pa-OQg._6ixYGdWIgCoeyHO2GDUYeHqMgpZW1uL-TORUW_m0RMg.JPEG/SE-7954ac89-8c2c-4d13-9c70-e48b9dd37d77.jpg?type=w80_blur|||https://postfiles.pstatic.net/MjAyNTEwMzBfMTQ1/MDAxNzYxODE4NzM3ODc5.dRXKvosAEbZZaBE_nHBUXK9uw8TpYqrSW-J0QXiUlJsg.JSvdqivEWyOAx1BaCHwq8uNAHs-j_oW3yIYdt5YILewg.JPEG/SE-c9946bd0-e388-4461-a4b5-ec3deacdb964.jpg?type=w80_blur|||https://postfiles.pstatic.net/MjAyNTEwMzBfNjMg/MDAxNzYxODE4NjIzMjgx.wOZoO0FW-ThYNJCVhbVqzpY7eyaRDXY65Iz-mmjtUrEg.Ocu-_TWrwDH-oD3nfDATdOiEfkU_Gf4MY8vh02Gi1OMg.JPEG/SE-0fe8456a-6675-45df-8cff-9def0f5862af.jpg?type=w80_blur|||https://postfiles.pstatic.net/MjAyNTEwMzBfMjkz/MDAxNzYxODE4Njc4OTI4.CNBlajePJr06J5O6cQfOITdy2G5OvRWfEEDvmCmuPl4g.R1uatbfHBm3yYorK-ythnfWRzjlxVjldG4bMM2SCFTIg.JPEG/SE-b8ef5bda-b5fc-4d66-9ebc-b4d492659032.jpg?type=w80_blur|||https://postfiles.pstatic.net/MjAyNTEwMzBfMTQy/MDAxNzYxODE5MDMwMTk3.gQRVWFpiiuS4IItu6PxuJ8zvQUu85xzV7RoBL13sD7wg.8X3v96S7OEPO-aqZfwBTJj7rdh6UPrReW5zV4RNWQh0g.JPEG/%EC%85%80%ED%94%8C%EB%9F%AC%EC%8A%A4%EC%8A%A4%EC%9C%84%ED%8A%B8%ED%8E%98%EC%9D%B4%EC%A7%80%EC%99%80%EB%AF%BC%ED%8A%B8%EB%9D%BC%EB%B2%A8.jpg?type=w80_blur|||https://postfiles.pstatic.net/MjAyNTEwMzBfMTA4/MDAxNzYxODE5MDMwMzY5.QqLCrMFkcLR-zlMAwf-KaTuGWR3Tp-JAI7hXEX1pUSUg.93JkjXAtCFEOO6r1Mvu_DFf99XwioTefA72PWLm1Rnog.JPEG/%EB%8B%A4%EB%B9%88%EC%B9%98%EC%8B%9C%EB%9F%BD%EC%84%A0%EB%AC%BC.jpg?type=w80_blur|||https://postfiles.pstatic.net/MjAyNTEwMzBfMTY4/MDAxNzYxODE5MDMwMzAx.qWKK6sQp0x_GmeJh_eOrAqlePO-3n0UiHQDPbnkdUE8g.gvO9KDnuHajfM1NUDCZv_HZdMZs7wEx0JYDjy0vZ5NEg.JPEG/%EB%8B%A4%EB%B9%88%EC%B9%98%EC%8B%9C%EB%9F%BD%EC%83%98%ED%94%8C.jpg?type=w80_blur|||https://postfiles.pstatic.net/MjAyNTEwMzBfMjAg/MDAxNzYxODE5MDMwMzcx.bm3egHpyUiJJY-KXY8tG5lnhwG9wC0fKFbqcZF-tt7og.VFt03tOwIcStuWWhwU70IeYFuiMZc4APeNDZQdpMJcwg.JPEG/%EC%8A%A4%EC%9C%84%ED%8A%B8%ED%8E%98%EC%9D%B4%EC%A7%80%EC%9E%90%EB%91%90%EC%9D%B5%EC%8A%A4.jpg?type=w80_blur|||https://postfiles.pstatic.net/MjAyNTEwMzBfMTg5/MDAxNzYxODE5MTQ0Mjc4.In4hdB6xU1MegGUl1mIKuoZ8ldhIx0MOYJ9DlWoDiA8g.qLjgJkofi6fN7-nvGbzpzl5OvgDlhyBKw2jBZCbhWEUg.JPEG/%EC%85%80%ED%94%8C%EB%9F%AC%EC%8A%A4%EB%A0%88%EC%8B%9C%ED%94%BC%EB%B6%81%EC%84%A0%EB%AC%BC.jpg?type=w80_blur|||https://postfiles.pstatic.net/MjAyNTEwMzBfNTUg/MDAxNzYxODE5MTQ0MjM5.V-Pi-tYS6Pc9iBAHKvvI502X5H5hkYClr4Qonpglvq0g.-ZFgggtB-McJ8bjXNgOQR051owYUcr1RunBZ_fLWJi4g.JPEG/%EC%85%80%ED%94%8C%EB%9F%AC%EC%8A%A4%EB%A0%88%EC%8B%9C%ED%94%BC%EB%B6%81.jpg?type=w80_blur|||https://postfiles.pstatic.net/MjAyNTEwMzBfMjcw/MDAxNzYxODE5MjMzNDY5.VNGDBpk41uM8EJBOgUc9KpBYo_njAiqeSQKL4o6yhvwg.MVVubz0JLXZ_V5s_8LgX63cdDbLpngcoLr6J6CIiTAsg.JPEG/%EB%8B%A4%EB%B9%88%EC%B9%98%EB%A0%88%EC%8B%9C%ED%94%BC%EB%B6%81%EA%B0%90%EC%82%AC%ED%95%A9%EB%8B%88%EB%8B%A4.jpg?type=w80_blur|||https://postfiles.pstatic.net/MjAyNTEwMzBfMzIg/MDAxNzYxODE5MjMzNTIw.0qCCQlkfkyIdVcYGMt-cMKyt1nRu0sWEpp-QgzQfKAEg.58ZjE3PzetL2uMKAuR3CSESAlHJmyIEzvZQD9zsZyU8g.JPEG/%EB%8B%A4%EB%B9%88%EC%B9%98%EB%A0%88%EC%8B%9C%ED%94%BC%EB%B6%81.jpg?type=w80_blur|||https://postfiles.pstatic.net/MjAyNTEwMzBfMjA4/MDAxNzYxODE5NDAyNDM5.Z2oUkYzE0rW_W-Aa0UPa8u_QER_Oo3TXisO33zjXS0Ug.FdPCH6chygfU3hQLbz55ACnbNkbsCQSlYLQTvP_vqbAg.JPEG/%EB%8B%A4%EB%B9%88%EC%B9%98%EC%8B%9C%EB%9F%BD%ED%8E%8C%ED%94%84.jpg?type=w80_blur|||https://postfiles.pstatic.net/MjAyNTEwMzBfMjEw/MDAxNzYxODE5NDAyNDM4.qe6saeFsbcw-1rI3D6HhCHqmRJ_IG4KH4x4duIbuSL4g.QLMO8EYT1cSRoiU8WFBKnOt0-qoGLU26O5tGxan8tAgg.JPEG/%EC%85%80%ED%94%8C%EB%9F%AC%EC%8A%A4%EC%8A%A4%ED%8A%9C%EB%94%94%EC%98%A4%EC%84%A0%EB%AC%BC%EA%B0%90%EC%82%AC%ED%95%A9%EB%8B%88%EB%8B%A4.jpg?type=w80_blur|||https://postfiles.pstatic.net/MjAyNTEwMzBfMjcy/MDAxNzYxODIxNzkyMTgw.q8ctc6LbP0XcPRZzePPoBz_RUkmnffSXXK_wT4WB9egg.RkVHLpVHzFSH4yZBAjNHmyeo5HyeSN3uL3Y23xqmwscg.JPEG/%EB%8F%84%EC%9B%85%EB%A6%AC%EC%BB%A4%ED%94%BC%EC%8B%AC%ED%8F%AC%EB%8B%88%EC%9D%8C%EB%A3%8C%ED%81%B4%EB%9E%98%EC%8A%A4%ED%9B%84%EA%B8%B0.jpg?type=w80_blur|||https://postfiles.pstatic.net/MjAyNTEwMzBfOTMg/MDAxNzYxODE5OTUyODUy.MQ83CS97iRBQzEt1pI5Bt_c9FWfb4r4etvxWMyuOUo0g.XNMNI_mNfsigByL_yS5rGApO4kZwv7i2TnNWCs4f7bgg.JPEG/SE-af2f4ab0-0a52-469b-9999-169004585887.jpg?type=w80_blur</t>
  </si>
  <si>
    <t>하고</t>
  </si>
  <si>
    <t>2025 킨텍스 카페앤베이커리 박람회, 인더먼.. : 네이버블로그</t>
  </si>
  <si>
    <t xml:space="preserve">물류시스템  셀플러스 – 음료 원재료 및 프리믹스 공급 이 네트워크 덕분에 인더먼트코리아는 “창업 → 납품 → 교육 → 오픈”까지 한 번에 연결되는 국내 유일한 원스톱 카페창업 시스템을 제공합니다.... </t>
  </si>
  <si>
    <t>blog.naver.com/inthement</t>
  </si>
  <si>
    <t>https://blog.naver.com/inthement/224055483529</t>
  </si>
  <si>
    <t>inthement</t>
  </si>
  <si>
    <t>2025 카페앤베이커리 박람회, 인더먼트코리아 부스에서 카페 창업의 모든 것을 경험하세요!
– 11월 5일(수)부터 8일(토)까지, 킨텍스 제2전시장 10A홀 –
🌿 카페 창업을 꿈꾸고 있다면, 이번 박람회는 꼭 오셔야 합니다
안녕하세요! 카페 창업 전문 컨설팅 기업 인더먼트코리아(Inthement Korea) 입니다.
드디어 기다리던 2025 카페앤베이커리 박람회 시즌2가 다가왔습니다.
오는 11월 5일부터 8일까지, 킨텍스 제2전시장 10A홀에서 열리는 이번 행사는
단순히 커피 장비를 ‘보는 전시회’가 아니라,
직접 체험하고 비교하며 합리적인 조건으로 구매까지 가능한
“실전형 카페 창업 페어”로 구성되어 있습니다.
올해 인더먼트코리아는 ‘카페를 통째로 옮겨온 부스’라는 콘셉트로 참가합니다.
하이엔드 커피머신, 제빙기, 오븐, 블렌더, 냉장고 등 실제 창업에 필요한 장비를
전부 설치해, 현장에서 직접 작동해볼 수 있는 공간을 마련했습니다.
“보고, 만지고, 바로 상담까지 한 번에.”
카페 창업을 진짜로 시작하는 사람들을 위한 현장형 전시 부스가 이번의 핵심입니다.
🧭 이번 2025 카페앤베이커리 박람회, 어떤 행사일까?
‘카페앤베이커리페어(Cafe &amp; Bakery Fair)’는
전국 카페 예비창업자, 베이커리 창업자, 커피머신 제조사, 프랜차이즈 브랜드들이
한자리에 모이는 국내 최대 규모의 산업 박람회입니다.
이 행사는 단순히 커피머신만을 다루지 않습니다.
디저트, 원두, 베이커리 장비, 포스·키오스크, 인테리어, 마케팅, 물류까지
‘카페 창업의 모든 산업군’을 아우르는 전문 박람회로 성장했습니다.
📍 행사 개요
행사명: 2025 카페앤베이커리페어 시즌2
일정: 2025년 11월 5일(수) ~ 8일(토)
장소: 킨텍스 제2전시장 10A홀
시간: 오전 10시 ~ 오후 6시
입장료: 사전등록 무료 / 현장 15,000원
올해는 ‘창업 실전 체험존’이 대폭 강화되었고,
카페 브랜드·설비 업체·디저트 기업들이 직접 시연존을 구성하여
운영 중심의 전시회로 리뉴얼되었습니다.
☕ 인더먼트코리아, 이번 부스의 콘셉트는 ‘체험형 카페’
이번 전시에서 인더먼트코리아는 단순 장비 전시를 넘어
**‘하나의 카페처럼 운영되는 실전 부스’**를 기획했습니다.
부스 내부에는 실제 카페에서 사용되는 모든 장비가 라인업되어 있으며,
방문자는 직접 커피머신을 작동하고, 빙수를 만들고, 디저트를 굽는 과정까지 체험할 수 있습니다.
💡 “머신 하나만 보고 사는 시대는 지났습니다.”
이제는 실제 사용 환경에서의 퍼포먼스를 직접 보고,
장비 간의 호환성과 효율성까지 비교할 수 있어야 하죠.
🔧 이번 부스에서 만날 수 있는 대표 장비 라인업
인더먼트코리아는 국내외 20여 개 브랜드의 장비를 공식 유통하고 있습니다.
그중에서도 이번 박람회에서 가장 주목할 만한 대표 장비들을 소개합니다.
빅토리아 아르두이노(Victoria Arduino)
이탈리아 감성과 정교한 기술력이 결합된 프리미엄 머신,
정밀한 온도 제어 시스템: 추출 온도를 0.1℃ 단위로 조절 가능
고성능 스팀 완비: 미세한 입자의 밀크 폼 제조
그룹별 독립 보일러 구조로 안정적인 대량 추출
세련된 LED 디스플레이: 실시간 압력·온도 확인 가능
🧡 하이엔드 카페, 프랜차이즈 매장, 디저트 전문점 등
커피 품질을 중요시하는 공간에서 가장 많이 선택하는 모델입니다.
라마르조꼬(La Marzocco)
‘바리스타의 로망’이라 불리는 라마르조꼬.
듀얼 보일러 시스템으로 추출 안정성 극대화
스마트 온도 제어 기술 (PID Control)
디지털 인터페이스로 정밀한 추출 타이밍 조절
강력한 내구성과 아이코닉한 디자인
라마르조꼬는 단순히 머신이 아니라,
카페의 ‘브랜드 가치를 높여주는 상징’으로 자리 잡았습니다.
씨메(CIME) – 뉴시그니처
‘합리적인 하이엔드 머신’을 찾는 창업자에게 인기 높은 브랜드입니다.
씨메 뉴시그니처(New Signature)는 PID 온도 제어, 정밀한 압력 밸브,
그리고 감각적인 스테인리스 디자인으로 유명합니다.
⚙ 바리스타 초보자도 쉽게 다룰 수 있는 직관적인 인터페이스,
안정적이고 빠른 워밍업, 그리고 유지관리 편리성이 강점입니다.
에그로 넥스트(EGRO NEXT) 전자동 커피머신
이번 전시의 ‘체험존 핵심 장비’입니다.
버튼 하나로 추출·세척·스팀·청소까지 자동으로 실행되는
풀오토 시스템을 탑재하고 있습니다.
자동 그라인딩 → 탬핑 → 추출 완성까지 올인원
청소 자동화 모듈로 관리가 매우 편리
LCD 터치 인터페이스로 누구나 손쉽게 사용 가능
💼 인건비 절감, 일관된 맛 유지, 빠른 회전율 —
카페 운영의 효율성을 완전히 바꿔주는 모델입니다.
호시자키 제빙기
제빙기는 카페의 숨은 핵심 장비입니다.
호시자키는 큐브형 얼음 생산, 고속 제빙력, 위생 관리 편의성으로
국내외 5,000여 매장에서 사용 중입니다.
공냉식 / 수냉식 선택 가능
스테인리스 외관 + 자가세척 기능
평균 25~75kg / day 대량 제빙
🧊 “얼음의 투명도가 다르면 음료 퀄리티도 달라진다.”
터보에어 냉장고
업계 최고 수준의 냉각 효율을 자랑하는 터보에어 냉장·냉동 테이블.
전문 베이커리 매장에서 가장 많이 선택되는 이유는
균일한 냉각, 저소음 설계, 그리고 세련된 디자인 때문입니다.
진성 JS-1 핫워터 디스펜서
핫워터 디스펜서의 표준 모델이라 불리는 JS-1은
빠른 예열, 온도 편차 최소화, 자동 온도유지 시스템으로
티음료 제조, 핸드드립용 온수 등 다양한 용도로 사용됩니다.
🔥 ‘온도의 미세한 차이’가 맛을 바꾸기 때문에,
진성의 안정적인 온수 공급은 카페 운영의 핵심입니다.
🎯 인더먼트코리아 부스의 핵심 포인트 – ‘직접 체험, 바로 비교, 현장 계약’
이번 2025 카페앤베이커리 박람회에서
인더먼트코리아 부스는 단순한 ‘장비 홍보 공간’이 아닙니다.
우리는 ‘카페 창업 현장 그대로를 옮겨온 실습형 공간’으로 꾸몄어요.
기존 전시처럼 단순히 제품을 진열하는 수준이 아니라,
실제 커피 추출, 제빙, 오븐 베이킹, 음료 제조까지 ‘현장 시연’ 중심으로 운영합니다.
“눈으로만 보는 전시가 아닌, 직접 체험하는 박람회”
실제 카페를 준비 중이거나 브랜드 런칭을 계획 중인 분들께
가장 실질적인 도움이 되는 ‘살아있는 정보 공간’이 될 것입니다.
🔸 부스에서 할 수 있는 체험 프로그램
인더먼트코리아 부스에서는 다음과 같은 프로그램들이 진행됩니다.
☕ ① 커피머신 실전 추출 체험
다양한 커피머신을 직접 작동
전문가와 함께하는 추출 압력, 스팀 컨트롤 시연
추출 변수별 맛의 차이 비교 (TDS, 크레마, 바디감)
💬 “이 머신으로 우리 매장에서 어떤 맛이 나올까?”
현장에서 직접 확인할 수 있습니다.
🍰 ② 베이커리 오븐 &amp; 발효기 데모
에카 오븐 및 발효기 실시간 시연
소금빵, 크루아상, 스콘, 파운드 등 제품 굽기 테스트
베이커리 라인 운영에 필요한 장비 효율성 상담
특히 이번에는 실제 제과전문 셰프가 참여해
“카페 내 제과 생산 동선 구성법”을 설명합니다.
🧊 ③ 제빙기, 냉장·냉동 시스템 비교 체험
카이저 / 호시자키 / 라셀르 제빙기의 제빙 속도 비교
터보에어 냉장고의 냉각 효율 테스트
매장 규모별 냉장 용량 상담 (1도어~6도어까지)
카페 운영자라면 ‘냉장 효율’이 얼마나 중요한지 아실 겁니다.
실제 전력 사용량, 소음 수준, 내부 선반 구조까지 비교해드립니다.
🎓 ④ 창업 상담 &amp; 실시간 견적 서비스
인더먼트코리아 전문 컨설턴트와 1:1 상담
공간 도면 기반 동선 설계 컨설팅
예산별 장비 구성안 제안 (저가형~하이엔드형)
프랜차이즈 납품 사례 소개
💡 실제 창업을 바로 앞둔 분이라면
도면을 지참해 오세요!
현장에서 “실제 배치도 + 장비 견적”을 바로 받아볼 수 있습니다.
💰 현장 한정 특별 혜택
이번 전시회에서는 인더먼트코리아 단독으로
다음과 같은 현장 한정 프로모션을 제공합니다.
혜택 구분 내용 비고
🎁 혜택 ① 현장 계약 고객 대상 소모품 세트 증정 필터, 탬퍼, 피쳐 등
🎁 혜택 ② 창업 무료 컨설팅 쿠폰 제공 부스 내 상담 완료 고객
🎁 혜택 ③ 커피&amp;베이커리 계약시 특별 할인 적용
🏗️ 창업자들이 가장 많이 묻는 질문들
Q1. 창업 예산은 어느 정도 잡아야 하나요?
👉 일반 개인 카페 기준, 장비+인테리어 포함 약 6,000만 원~1억 원이 평균입니다.
규모, 콘셉트, 머신 선택에 따라 다르며,
박람회 현장에서 “실제 도면 기반 견적”을 무료로 받아볼 수 있습니다.
Q2. 하이엔드 머신을 쓰는 게 좋은가요?
👉 단기적으로는 비용이 높지만, 장기적으로 브랜드 가치 + 품질 유지 면에서
운영 효율이 훨씬 높습니다.
Q3. 설치 후 A/S는 어떻게 진행되나요?
👉 인더먼트코리아는 전국 출장망을 보유한 엔지니어 팀이 직접 설치·점검을 수행합니다.
700곳 이상의 창업 이력으로 현장 대응이 매우 빠릅니다.
🤝 협력 브랜드 네트워크
인더먼트코리아는 단독으로만 운영되지 않습니다.
카페 창업의 모든 단계를 책임지는
파트너 브랜드 네트워크를 구축하고 있습니다.
☕ 브루컨설팅, 포테이토웍스 – 카페 메뉴 및 오퍼레이션 교육
🪑 까사디 – 가구 및 인테리어 컨설팅
🍰 프랩, 아드리아 – 베이커리 라인 납품
🧾 비버웍스 / 포테이토웍스 – POS·키오스크 / 물류시스템
🍫 셀플러스 – 음료 원재료 및 프리믹스 공급
이 네트워크 덕분에 인더먼트코리아는
“창업 → 납품 → 교육 → 오픈”까지 한 번에 연결되는
국내 유일한 원스톱 카페창업 시스템을 제공합니다.
🎫 박람회 관람 꿀팁 — 이렇게 보면 훨씬 유익해요
이번 카페앤베이커리 박람회는 규모가 정말 큽니다.
1회 관람으로 모든 부스를 다 보기 어렵기 때문에,
동선 계획과 관람 포인트를 미리 정리해두시면 훨씬 효율적이에요.
✅ 1. 사전등록은 필수
사전등록을 하면 입장료(15,000원)가 무료!
게다가 인더먼트코리아 부스 상담 시
‘사전등록 고객’만 받을 수 있는 창업자료 패키지를 드립니다.
🎟 사전등록 링크는 카페앤베이커리페어 공식 홈페이지
사전등록 후, 현장 QR코드 스캔만 하면 바로 입장!
✅ 2. 부스 입구 근처부터 시작하세요
대부분의 방문객이 중간 부스부터 보는데,
사실 입구 라인에 대형 브랜드들이 배치됩니다.
인더먼트코리아 부스는 10A홀 입구 좌측 첫 번째 라인에 있어요.
“입장 후 버건디 커튼이 보이는 곳! 향긋한 커피 향이 나는 곳”
바로 거기가 인더먼트입니다 ☕
✅ 3. 상담 전, 창업 규모를 정리해 오세요
상담 전에 간단히 정리하면 좋아요.
창업 지역 (예: 경기, 부산, 제주 등)
매장 크기 (평수 기준)
메뉴 방향 (디저트 중심, 테이크아웃, 브런치형 등)
이 세 가지만 있으면 현장에서 예산·장비 구성·설치 일정을 바로 산출해드릴 수 있습니다.
✅ 4. 현장 계약 시 주의사항
박람회 한정 특가이기 때문에,
계약 후 취소는 어렵습니다.
하지만 인더먼트코리아는 사전 견적서 + 설치 일정표를 함께 제공하기 때문에
안심하고 상담하실 수 있습니다.
✅ 5. 사진 많이 찍어두세요 📸
박람회 부스는 단순한 홍보 공간이 아니라
‘트렌드 참고서’입니다.
기계 구조, 인테리어, 메뉴 구성, 가격표까지
사진으로 기록해두면 나중에 매장 기획할 때 큰 도움이 됩니다.
☕ 지난 박람회 후기 — “인더먼트 부스는 진짜 다르다”
지난 2025년 여름에 열린 SETEC 카페앤베이커리 전시회에서도
인더먼트코리아 부스는 단연 가장 활기찬 부스로 꼽혔습니다.
방문객들의 공통된 반응은 이랬어요 👇
“전시회에서 처음으로 커피를 직접 내려봤어요.”
“장비 설명이 너무 구체적이어서 바로 계약했어요.”
“그냥 판매가 아니라 창업 상담까지 해주셔서 믿음이 갔어요.”
🧩 인더먼트코리아의 철학 – “카페창업, 기계가 아니라 사람에서 시작된다”
많은 사람들이 카페창업을 ‘커피머신 구매’로 시작한다고 생각하지만,
인더먼트코리아는 그 시작점이 다릅니다.
우리는 사람, 공간, 그리고 경험에서 출발합니다.
☕ 사람 중심: 오너가 직접 사용할 장비를 기준으로 상담
🏠 공간 중심: 동선, 배관, 전기용량까지 체크 후 추천
💬 경험 중심: 700건 이상의 창업 실사 데이터를 기반으로 제안
“기계를 파는 회사가 아니라, 창업의 리스크를 줄여주는 파트너.”
이것이 인더먼트코리아의 철학입니다.
🧱 인더먼트코리아의 차별화된 시스템
구분 일반 장비 판매점 인더먼트코리아
상담 방식 단순 제품 안내 창업 방향 + 예산별 솔루션 제공
설치 외주 설치업체 이용 자사 엔지니어 직접 시공
유지보수 별도 비용 / 연락 지연 전국 출장 A/S 시스템
부품 지원 수입사 의존 주요 브랜드 자재 자체 보유
창업 컨설팅 미제공 도면, 동선, 메뉴교육까지 포함
이 차이 때문에
인더먼트코리아는 프랜차이즈 본사·대형 베이커리 카페·호텔 카페까지
지속적으로 협업 중입니다.
🔍 올해 박람회에서 새롭게 공개되는 ‘창업 패키지’
올해는 처음으로 패키지형 창업 솔루션이 공개됩니다.
구분 구성 주요 특징
☕ BASIC 패키지 CIME 시그니처 + IMK 제빙기 + 냉장테이블 10평 이하 개인카페용
🍰 STANDARD 패키지 Victoria Arduino + 미토스 + JS-1 디스펜서 중형 브런치카페용
🏢 PREMIUM 패키지 La Marzocco + EK43 + Softmill 오븐 세트 50평 이상 복합형 매장용
모든 패키지는 현장에서 직접 보고 체험 후 계약할 수 있으며,
설치·운반·세팅까지 일괄 지원됩니다.
🌈 인더먼트코리아 부스의 특별 이벤트
🎁 현장 구매 고객 대상 럭키드로우 – 추첨을 통해 커피머신 미니어처 증정
🎓 1:1 창업 컨설팅 무료 진행 – 대표 및 엔지니어와 직접 상담
📷 SNS 인증 이벤트 – 해시태그 등록 시 스타벅스 카드 증정
💬 리퍼장비 즉시 판매존 – 전시 중 사용된 장비를 특가로 판매
단 4일간만 진행되는 특별 이벤트이므로,
방문하신다면 부스 앞 ‘이벤트 데스크’부터 확인하세요!
🕒 박람회 일정 다시 정리
📍 행사명: 2025 카페앤베이커리 박람회
📅 일정: 2025년 11월 5일(수) ~ 11월 8일(토)
🏢 장소: 킨텍스 제2전시장 10A홀
🕙 시간: 오전 10시 ~ 오후 6시
🎫 입장료: 사전등록 무료 / 현장매표 15,000원
💬 인더먼트코리아 대표의 한마디
“700곳이 넘는 창업 현장을 경험하며 느낀 건 단 하나입니다.
결국 중요한 건 ‘기계’보다 ‘사람과 공간의 연결’입니다.
이번 전시에서 그 해답을 직접 보시길 바랍니다.”
🚀 마무리 – 카페 창업, 그 시작을 박람회에서
카페 창업을 꿈꾸는 여러분,
이제는 검색과 견적서가 아니라, 직접 보고 느끼는 시간이 필요합니다.
이번 2025 카페앤베이커리 박람회는
그동안 막연했던 ‘창업 계획’을 ‘현실적 실행안’으로 바꾸는
결정적인 기회가 될 것입니다.
☕ 11월 5일 ~ 8일, 킨텍스 제2전시장 10A홀
“인더먼트코리아 부스에서, 당신의 카페 창업 이야기를 시작하세요.”
📞 문의: 010-5550-5573
📍 인스타그램: @inthement_official
🌐 홈페이지: www.inthement.com</t>
  </si>
  <si>
    <t>https://postfiles.pstatic.net/MjAyNTEwMjdfMyAg/MDAxNzYxNTQ1NjgxMDc0.8uIYDfCsI2pWTL1-chWUTb3ReuATl8LOF7WxXOE3mrAg.klndGU8NaXKIKhXgmhMmTVMwFpjb6JkAhVLnIydlLpQg.JPEG/%EC%A0%9C%EB%AA%A9%EC%9D%84-%EC%9E%85%EB%A0%A5%ED%95%B4%EC%A3%BC%EC%84%B8%EC%9A%94_-001_(24).jpg?type=w966|||https://postfiles.pstatic.net/MjAyNTEwMjdfMTIw/MDAxNzYxNTUxMTg0NzEy.nqGt7mBTOQaLnLsmT27oO67BddbE4CgVADdzHz0UU2Ug.cvk5g57HH5ARl6yQdhA2z6SKgKzO4pmPhjZMnoI5oW0g.JPEG/KakaoTalk_20250601_101352229_01.jpg?type=w80_blur|||https://www.cafenbakeryfair.com/thum_img/cbfairs/option/b7c47ae19425a75185842493fa302f08_water__c1_w310_h600.png|||https://postfiles.pstatic.net/MjAyNTEwMjdfMjYz/MDAxNzYxNTUyMzU5ODAw.he0RbvoDo5PudrB29hazWYSjJfT8HthDcxXkKRxxCXEg.JiZraGiGg9kS4nt6CXvltpfivJPSJvjNo_P2tOBBDr0g.JPEG/KakaoTalk_20241220_161023037_06.jpg?type=w80_blur|||https://postfiles.pstatic.net/MjAyNTEwMjdfMTIg/MDAxNzYxNTUyMzc1ODY4.kwMquK1-rPzKadyCPGCt1w92IJNgvMFvPz9bvXmuukIg.aILejflBJtWQvTigBKX9iDs1eBg7rQCE4pGVzHGggWMg.JPEG/DSCF0015_Original.jpg?type=w80_blur|||https://postfiles.pstatic.net/MjAyNTEwMjdfMjU5/MDAxNzYxNTUxNDM3Nzk1.XahwmDtXLNwwH_ryWzAGALuRURLuk_S8FfoPagQpJUAg.Y7sHWLbkbWgIGm_528GPPHDNK8iZPC0TQzgQ8C0CBGIg.JPEG/KakaoTalk_20250601_100737363.jpg?type=w80_blur|||https://postfiles.pstatic.net/MjAyNTEwMjdfMTg5/MDAxNzYxNTUxNzM0NzY0.em-aAmORsR--dBYZg-5eeDTnn5q16RNAi1u7KGTgC_Ig.YdYOe44-jwIQrIZNp7j5aYI7TpQF14amylnkz9s28NQg.JPEG/KakaoTalk_20240218_212151369_12.jpg?type=w80_blur|||https://postfiles.pstatic.net/MjAyNTEwMjdfMTMy/MDAxNzYxNTUxNzc3MzA0.HL2y0joGFDXB9RTHGQvzKc_ZZGXjdhoYOXTIrdjZHmUg._9IRyNVLQuqrQ4CTr_yyDfA1phVQvXPsucnwSt_b5Ukg.JPEG/%EC%A0%9C%EB%AA%A9%EC%9D%84-%EC%9E%85%EB%A0%A5%ED%95%B4%EC%A3%BC%EC%84%B8%EC%9A%94_-002_(10).jpg?type=w80_blur|||https://postfiles.pstatic.net/MjAyNTEwMjdfNjgg/MDAxNzYxNTUxOTAxMjcz.iRfwaFlG-VUC2AOOk_sAd2OGhzkEr1YfPmvaMTMweh8g.cC2sDB35MO8d91xVZqVDpYygg427hd266pDqVffQhuYg.JPEG/KakaoTalk_20241220_161023037.jpg?type=w80_blur|||https://postfiles.pstatic.net/MjAyNTEwMjdfOTIg/MDAxNzYxNTUyMjM0NDY1.lQzk9SrK_ozH1NmQylEEkCnGWYrkW6KVnQ8w5bOhAhcg.oYpB9VCnXVUNtIxMXz8Y6t2H06AUAfg07FbwVzsHNhEg.JPEG/001_(17).jpg?type=w80_blur|||https://postfiles.pstatic.net/MjAyNTEwMjdfNzMg/MDAxNzYxNTUyMjEyMjUx.4Cve05F0rdjy-wVDviEcLuT2idAR205bQK-gymq4Nbkg.gFRZ0r5THGPbJm6NxxmWu6mVn7QwMxg-ceY5ml5mc28g.JPEG/%EC%A0%9C%EB%AA%A9%EC%9D%84-%EC%9E%85%EB%A0%A5%ED%95%B4%EC%A3%BC%EC%84%B8%EC%9A%94_-002_(12).jpg?type=w80_blur</t>
  </si>
  <si>
    <t>010-5550-5573</t>
  </si>
  <si>
    <t>하나통상 셀플러스 2025 얼리버드 카페 겨울.. : 네이버블로그</t>
  </si>
  <si>
    <t xml:space="preserve">저희 하나통상과 셀플러스 스튜디오가 매달 진행하는 클래스 이번에 교육을 진행하였는데요~! 교육... 필요한 셀플러스 민트라벨 파우더와 앤드로스 리플잼 스포트 시럽, 스위트페이지 시럽, 견과류 등... </t>
  </si>
  <si>
    <t>blog.naver.com/hana28000</t>
  </si>
  <si>
    <t>https://blog.naver.com/hana28000/224052507479</t>
  </si>
  <si>
    <t>hana28000</t>
  </si>
  <si>
    <t>안녕하세요
카페창업의 일번지 하나통상입니다!
날씨가 급격히 쌀쌀해지고 추워졌죠!!
저희 하나통상과 셀플러스 스튜디오가
매달 진행하는 클래스 이번에 교육을
진행하였는데요~!
교육 진행 후기를 알려드리죠!
제철을 위한 서두름
2025 얼리버드 겨울 메뉴 OPEN
날짜 : 10월 22일
시간 : 14:00-16:00
장소 : 하나통상
대구광역시 수성구 신천동로 268, 3층교육장
겨울의 따뜻한 무드가 가득 담긴 메뉴를 미리 준비할 수 있도록
겨울 제철 제품과 겨울 시즌 음료를 제안해 드리는 클래스
진행 하였습니다~!
클래스 참여
클래스는 2시간 동안 진행이 되며
클래스 정원은 최대 9명 입니다~!
저희가 직접 강의자료도 제공 해드리며
궁금하신 점은 바로바로 답변 해드리고 있습니다:)
얼리버드 겨울 메뉴
교육에 필요한 셀플러스 민트라벨 파우더와 앤드로스 리플잼
스포트 시럽, 스위트페이지 시럽, 견과류 등
중요 재료 부터 설명 드렸습니다!
2025년 트렌디한 겨울 제철 제품으로
따뜻하고 포근한 분위기를 가득 담은 메뉴로
모든 메뉴 HOT / ICE 버전으로
만드는 방법을 설명드리고 완성 후
시음도 해드렸습니다!
역시 겨울메뉴다 보니 라떼음료를 많이
알려드렸습니다~!
빠르게 겨울 시즌 메뉴를 준비해 볼 수 있는 클래스
이런분들께 추천 드려요~!
✔ 2025년 겨울, 새로운 시즌 메뉴를 준비하는 점주님
✔ 겨울 시즌과 맞는 제품 트렌드에 맞는 메뉴를 준비하는 점주님
✔ 카페 창업을 고려중이나 어떤 기준으로 음료 맛을 정해야 할지 궁금하신 분
✔ 열심히 운영하과 있는데 매출이 오르지 않아 해결책을 알고 싶은 사장님
매장의 새로운 변화
돌파구를 찾고 있는 사장님들이라면
클래스 추천 드립니다~!!!
**원데이클래스 문의 환영
5m
© NAVER Corp.
하나통상 카페창업
대구광역시 수성구 신천동로 268
제빙기,커피머신,카페창업,하나통상
대구광역시 수성구 신천동로 268
☎1544-3946
☎010-3503-2369
하나통상 셀플러스 카페 겨울메뉴 클래스 진행
재생
1
좋아요
0
01:03
하나통상 셀플러스 카페 겨울메뉴 클래스 진행</t>
  </si>
  <si>
    <t>https://storep-phinf.pstatic.net/ogq_5747936e27e7c/original_1.png?type=p100_100|||https://postfiles.pstatic.net/MjAyNTEwMjRfMzMg/MDAxNzYxMjcyOTAwMjEw.8h9eQrcJdGvz8zK-YRkYBw-PTQWXEWlRwQD6TdDP0rAg.1CAg18EET0niBFqsisiZ9WXbmLJ9l1yqQxaODzRJTiUg.PNG/image.png?type=w80_blur|||https://postfiles.pstatic.net/MjAyNTEwMjRfMjgg/MDAxNzYxMjczMjIwODgx.GMLv3x6x3-IdBidfAYedjWrHAYJD5abKnBhkA4fFZNEg.AQySy6k4phKEgUoiAiNN7v7Ur1iyxBP3Rvan1v-vFTIg.JPEG/KakaoTalk_20251023_173553697_01.jpg?type=w80_blur|||https://postfiles.pstatic.net/MjAyNTEwMjRfMTg4/MDAxNzYxMjczMjIwOTAy.fBq7C0oiq5Xo5ZRTFKEoVv5b3Ynr0Et8NFTOfKF-G2sg._mZdja1RIxnHCLBexbRGgncqj_cr6jHZ3GEGc2u6D2Qg.JPEG/KakaoTalk_20251023_173553697_02.jpg?type=w80_blur|||https://postfiles.pstatic.net/MjAyNTEwMjRfMTQx/MDAxNzYxMjczMjI0NjY3.hwGnV9FIzMOhgpH4-pwqtv5pQgJjOWDDgzuYI44hGv8g.6_dQIJRYA3ncpDPGUrHtldh9Nhw30fJVslhGV260rwEg.JPEG/KakaoTalk_20251023_173553697_03.jpg?type=w80_blur|||https://postfiles.pstatic.net/MjAyNTEwMjRfMTE0/MDAxNzYxMjczMjI0NjY3.yCfmOvy6IAYkFmxGsMHMOn7xjjXCXXt4jHtdt5TkpCAg.RPEKnKfO7qN5UG20Zeb_Ur3oo8peXP21z1XSzfvsliQg.JPEG/KakaoTalk_20251023_173553697_04.jpg?type=w80_blur|||https://postfiles.pstatic.net/MjAyNTEwMjRfMjE5/MDAxNzYxMjczNDY4ODIy.8fqwPtyd9T5CFLkSHpWxwq_B8LbDzTe6W8Z93U6z_fYg.D1NeQokPNzt6_wtAow_1nrOiav8s-cuxkmHb0LdS_oYg.JPEG/KakaoTalk_20251023_173553697_05.jpg?type=w80_blur|||https://postfiles.pstatic.net/MjAyNTEwMjRfODAg/MDAxNzYxMjczNDY4ODM1.xehJ_AHk9-xg5jj9ZUjGLKEBaz61R8aAnJbsRvCwBggg.Sfr0dLTkUV-HCzPtNrIrNP5piKvUmEr2HbriUwQ7Y7wg.JPEG/KakaoTalk_20251023_173553697_08.jpg?type=w80_blur|||https://postfiles.pstatic.net/MjAyNTEwMjRfMzAw/MDAxNzYxMjczNDc3ODQw.k5LQOPyYRedA8NQafQgVp25Nv155_KWUlCStsojsNz4g.iZk_dWp4UxTPNi253WZbhqXu9oFknu9DUEPvZpXVa50g.JPEG/KakaoTalk_20251023_173553697_10.jpg?type=w80_blur|||https://postfiles.pstatic.net/MjAyNTEwMjRfMjAw/MDAxNzYxMjczNDc3ODQz.QUxDzGN9w8i0dwhLg1EFyeQDSytC_C6LQyiOiEHuB2sg.uCu3VJ0HzQ9sr2nrC65UaGEJDvXZiQCS7aY_28XRhS0g.JPEG/KakaoTalk_20251023_173553697_06.jpg?type=w80_blur|||https://postfiles.pstatic.net/MjAyNTEwMjRfMTAx/MDAxNzYxMjczNDkyODQx.ZaQGFILvtyrsvpsCqSj4HUM4Q0oZflCYamFMBx5rEF8g.PkotZpiSWXbXwhNJ6KQMZG52-Y4HIkJ7UHNoOH0Jkqgg.JPEG/KakaoTalk_20251023_173553697_11.jpg?type=w80_blur|||https://postfiles.pstatic.net/MjAyNTEwMjRfMjAx/MDAxNzYxMjczNDkyODMz.VHZsB1FAVlKOEkpPj-AZoxczvwuOX6BfJS9IFKWazbwg.xfjXieVtKYGJ4UevUN92lhm6hPoUfwavasrW78hlmWQg.JPEG/KakaoTalk_20251023_173553697_14.jpg?type=w80_blur|||https://postfiles.pstatic.net/MjAyNTEwMjRfMjQx/MDAxNzYxMjczNDk5NDc0.CTOPLK_LSJvBej7XzFiY90ezU4Z9hj9S7WR1KkNCCMog.rff6azTGJTZ-t4atMaOgPiV73Dgosfm0h732Rp-hmg8g.JPEG/KakaoTalk_20251023_173553697_19.jpg?type=w80_blur|||https://postfiles.pstatic.net/MjAyNTEwMjRfMTMg/MDAxNzYxMjczNDk5NDc2.T6eSWdSP21lFbdgJEgUXEhd_DVBIfVmtMly4sGzHDN0g.p9AIbTSdbFCvZpMhPrCROQ8LkKBA-5cykoVD9Pl7PzAg.JPEG/KakaoTalk_20251023_173553697_16.jpg?type=w80_blur|||https://storep-phinf.pstatic.net/ogq_5747936e27e7c/original_12.png?type=p100_100|||https://map.pstatic.net/nrb/styles/basic/1761871134/21/1797773/824609.png?mt=bg.ol.sw.ar.lko|||https://map.pstatic.net/nrb/styles/basic/1761871134/21/1797773/824608.png?mt=bg.ol.sw.ar.lko|||https://map.pstatic.net/nrb/styles/basic/1761871134/21/1797773/824610.png?mt=bg.ol.sw.ar.lko|||https://map.pstatic.net/nrb/styles/basic/1761871134/21/1797773/824607.png?mt=bg.ol.sw.ar.lko|||https://map.pstatic.net/nrb/styles/basic/1761871134/21/1797774/824607.png?mt=bg.ol.sw.ar.lko|||https://map.pstatic.net/nrb/styles/basic/1761871134/21/1797772/824610.png?mt=bg.ol.sw.ar.lko|||https://map.pstatic.net/nrb/styles/basic/1761871134/21/1797774/824608.png?mt=bg.ol.sw.ar.lko|||https://map.pstatic.net/nrb/styles/basic/1761871134/21/1797772/824609.png?mt=bg.ol.sw.ar.lko|||https://map.pstatic.net/nrb/styles/basic/1761871134/21/1797774/824609.png?mt=bg.ol.sw.ar.lko|||https://map.pstatic.net/nrb/styles/basic/1761871134/21/1797772/824608.png?mt=bg.ol.sw.ar.lko|||https://map.pstatic.net/nrb/styles/basic/1761871134/21/1797774/824610.png?mt=bg.ol.sw.ar.lko|||https://map.pstatic.net/nrb/styles/basic/1761871134/21/1797772/824607.png?mt=bg.ol.sw.ar.lko|||https://map.pstatic.net/nrb/styles/basic/1761871134/21/1797775/824607.png?mt=bg.ol.sw.ar.lko|||https://map.pstatic.net/nrb/styles/basic/1761871134/21/1797771/824610.png?mt=bg.ol.sw.ar.lko|||https://map.pstatic.net/nrb/styles/basic/1761871134/21/1797775/824608.png?mt=bg.ol.sw.ar.lko|||https://map.pstatic.net/nrb/styles/basic/1761871134/21/1797771/824609.png?mt=bg.ol.sw.ar.lko|||https://map.pstatic.net/nrb/styles/basic/1761871134/21/1797775/824609.png?mt=bg.ol.sw.ar.lko|||https://map.pstatic.net/nrb/styles/basic/1761871134/21/1797771/824608.png?mt=bg.ol.sw.ar.lko|||https://map.pstatic.net/nrb/styles/basic/1761871134/21/1797775/824610.png?mt=bg.ol.sw.ar.lko|||https://map.pstatic.net/nrb/styles/basic/1761871134/21/1797771/824607.png?mt=bg.ol.sw.ar.lko|||https://editor-static.pstatic.net/c/resources/common/img/common-icon-place-1-x2-20180920.png|||https://editor-static.pstatic.net/c/resources/common/img/common-icon-place-2-x2-20180920.png|||https://ssl.pstatic.net/static/maps/mantle/1x/new-scale-normal-b.png|||https://ssl.pstatic.net/static/maps/mantle/1x/new-scale-normal-l.png|||https://ssl.pstatic.net/static/maps/mantle/1x/new-scale-normal-r.png|||https://ssl.pstatic.net/static/maps/mantle/1x/zoom-in-small-dimmed.png|||https://ssl.pstatic.net/static/maps/mantle/1x/zoom-handle.png|||https://ssl.pstatic.net/static/maps/mantle/1x/zoom-out-small-normal.png|||https://ssl.pstatic.net/static/maps/mantle/1x/zoom-legend-left-on.png|||https://ssl.pstatic.net/static/maps/mantle/1x/zoom-legend-left-normal.png|||https://ssl.pstatic.net/static/maps/mantle/1x/zoom-legend-left-normal.png|||https://ssl.pstatic.net/static/maps/mantle/1x/zoom-legend-left-normal.png|||https://ssl.pstatic.net/static/maps/mantle/1x/zoom-legend-left-normal.png|||https://ssl.pstatic.net/static/maps/mantle/1x/zoom-legend-left-normal.png|||https://simg.pstatic.net/static.map/v2/map/staticmap.bin?caller=smarteditor&amp;markers=label%3Aa%7Cpos%3A128.6082734%2035.8488552%7Csize%3Amid%7Ctype%3Aa%7CviewSizeRatio%3A0.7%7Ccolor%3A0x11cc73&amp;markers=label%3Ab%7Cpos%3A128.6082998%2035.8488696%7Csize%3Amid%7Ctype%3Aa%7CviewSizeRatio%3A0.7%7Ccolor%3A0x11cc73&amp;w=700&amp;h=315&amp;scale=2&amp;dataversion=176.36</t>
  </si>
  <si>
    <t>010-3503-2369</t>
  </si>
  <si>
    <t>[셀플러스/셀빨래방]비밀언덕빨래방 상업용 세탁.. : 네이버블로그</t>
  </si>
  <si>
    <t xml:space="preserve">안녕하세요 셀플러스 입니다. 오늘은 비밀언덕빨래방에서 세탁기와 건조기 설치를 한 후기를 올려드릴려고 합니다. 저희 셀플러스는 2단 1세트와 카드기 2대 그리고 세제자동펌프를 1대 설치했습니다.... </t>
  </si>
  <si>
    <t>blog.naver.com/sell1993</t>
  </si>
  <si>
    <t>https://blog.naver.com/sell1993/224051159134</t>
  </si>
  <si>
    <t>sell1993</t>
  </si>
  <si>
    <t>안녕하세요 셀플러스 입니다.
오늘은 비밀언덕빨래방에서 세탁기와 건조기 설치를 한 후기를 올려드릴려고 합니다.
저희 셀플러스는 2단 1세트와 카드기 2대 그리고 세제자동펌프를 1대 설치했습니다.
셀플러스는 청년주택, 원룸, 기숙사 등 공동생활 공간에 맞춘 세탁 솔루션 전문 기업으로,
공간의 특성과 이용 패턴을 고려한 최적의 시스템을 제공합니다.
삼성 상업용 세탁기는 초정밀 진동 저감 시스템으로 고속탈수 시에도 진동과 소음 없이 조용하게 돌아가고, 버블 클렌징 세탁으로 무려 2.5배 빠르게 빨랫감에 스며들어 시간을 절약 가능합니다.
삼성 상업용 건조기는 양문형 크리스탈 블루 도어로 좌/우 도어오픈으로 장소에 상관없이 자유로운 설치가 가능하고, 이중 매쉬구조 올인원 필터로 확실하게 먼지를 모아주고 손쉽게 분리청소가 가능합니다.
삼성 상업용 세탁기와 건조기로 시간과 노력을 절약해 보세요</t>
  </si>
  <si>
    <t>https://postfiles.pstatic.net/MjAyNTEwMjNfMjk1/MDAxNzYxMTk4NDM5Mzg4.8bN9IPgshyZZsyYuX607iIhEHxASbFV9j4cjc55t06sg.ZVx9GFVkVYs0thB8ItXE_CRd_VPJVQH0IhFHlCpxREcg.JPEG/%EB%B8%94%EB%A1%9C%EA%B7%B8_%ED%8B%801.jpg?type=w773|||https://postfiles.pstatic.net/MjAyNTEwMjNfNCAg/MDAxNzYxMTk4NDQyMDU3.1ZNVBXmoKeYWYa86Y43iA47yGKscgygtRO-hpsKRxeYg.bbwBbrCLSNCbeFBXD_-H3VllNn7WBfxJaopN8qwBX-wg.JPEG/%EB%B8%94%EB%A1%9C%EA%B7%B8_%ED%8B%802.jpg?type=w80_blur|||https://postfiles.pstatic.net/MjAyNTEwMjNfODgg/MDAxNzYxMTk4NDQ0ODc0.4wjNRAhcxdfyMgnfXvTKbPNcsYI-A3KDMJBy2cNQGO0g.G3wwYBmoGt8QoL6NDkTw7jv0CjMvI5rYVXZAIVDS9o0g.JPEG/%EB%B8%94%EB%A1%9C%EA%B7%B8_%ED%8B%803.jpg?type=w80_blur</t>
  </si>
  <si>
    <t>[셀플러스/셀빨래방]이루다스테이 상업용 세탁기.. : 네이버블로그</t>
  </si>
  <si>
    <t xml:space="preserve">안녕하세요 셀플러스 입니다. 오늘은 이루다스테이에서 세탁기와 건조기 설치를 한 후기를 올려드릴려고 합니다. 건물 2층에 삼성세탁기와 건조기 2단 1세트 3층에는 2단 1세트를 설치를 하였습니다. 셀플러스는... </t>
  </si>
  <si>
    <t>https://blog.naver.com/sell1993/224049576994</t>
  </si>
  <si>
    <t>안녕하세요 셀플러스 입니다.
오늘은 이루다스테이에서 세탁기와 건조기 설치를 한 후기를 올려드릴려고 합니다.
건물 2층에 삼성세탁기와 건조기 2단 1세트
3층에는 2단 1세트를 설치를 하였습니다.
셀플러스는 청년주택, 원룸, 기숙사 등 공동생활 공간에 맞춘 세탁 솔루션 전문 기업으로,
공간의 특성과 이용 패턴을 고려한 최적의 시스템을 제공합니다.
이번 현장에는 삼성 프리미엄 드럼세탁기와 고효율 건조기가 함께 설치되었으며,
공간에 딱 맞는 배치와 깔끔한 마감으로 세련된 분위기를 더했습니다.
삼성 상업용 세탁기는 초정밀 진동 저감 시스템으로 고속탈수 시에도 진동과 소음 없이 조용하게 돌아가고, 버블 클렌징 세탁으로 무려 2.5배 빠르게 빨랫감에 스며들어 시간을 절약 가능합니다.
삼성 상업용 건조기는 양문형 크리스탈 블루 도어로 좌/우 도어오픈으로 장소에 상관없이 자유로운 설치가 가능하고, 이중 매쉬구조 올인원 필터로 확실하게 먼지를 모아주고 손쉽게 분리청소가 가능합니다.
삼성 상업용 세탁기와 건조기로 시간과 노력을 절약해 보세요</t>
  </si>
  <si>
    <t>https://postfiles.pstatic.net/MjAyNTEwMjJfMTcg/MDAxNzYxMDk0NTYwNDgz.xanUjZ9F_T9sOGQk-qIWgJOlozbhfbrfkIJvh8fvazMg.TDKEyhKF6B8Ey_XuTFGRltGmCTNAsfSKLFmN2lK6XLEg.JPEG/%EB%B8%94%EB%A1%9C%EA%B7%B8_%ED%8B%801.jpg?type=w773|||https://postfiles.pstatic.net/MjAyNTEwMjJfMjg1/MDAxNzYxMDk0NTYzODU2.OwFTTcmDGQmaVRzvE3KNwN8e7KhAl97a9zGdCYriOrkg.47OzLEhxiGZrBnlgUnVGrJ7hCELTmeNoFFo-kK5arTEg.JPEG/%EB%B8%94%EB%A1%9C%EA%B7%B8_%ED%8B%802.jpg?type=w80_blur|||https://postfiles.pstatic.net/MjAyNTEwMjJfMTYg/MDAxNzYxMDk0NTY2NDAy.7mQ-H26cSIJfTGS_EyHSueVk7pNXr392TlxEmfkelCUg.DSDckR8C0gQMsDMMQ2BHUuKAyDhDaVjADXxHIBy5064g.JPEG/%EB%B8%94%EB%A1%9C%EA%B7%B8_%ED%8B%803.jpg?type=w80_blur|||https://postfiles.pstatic.net/MjAyNTEwMjJfMTMg/MDAxNzYxMDk0NTY4OTI0.l0t37CKGdHgzFwp8TZrtObuvsTpJDiOw56_q2tWtXIAg.5X32sbWkMrOgUPU7S8X38n-pF8Xl5l7Hr26C3IKfBkEg.JPEG/%EB%B8%94%EB%A1%9C%EA%B7%B8_%ED%8B%804.jpg?type=w80_blur</t>
  </si>
  <si>
    <t>[셀플러스/셀빨래방] 오산세교 상업용 세탁기 .. : 네이버블로그</t>
  </si>
  <si>
    <t xml:space="preserve">안녕하세요 셀플러스 입니다. 오늘은 경기도 오산세교 지역 세탁기 설치 현장 소식을 전해드리려 합니다  셀플러스는 오산세교를 비롯한 전국 각지에서 청년주택, 원룸, 게스트하우스, 숙박시설, 공동세탁실 등... </t>
  </si>
  <si>
    <t>https://blog.naver.com/sell1993/224049536874</t>
  </si>
  <si>
    <t>안녕하세요 셀플러스 입니다.
오늘은 경기도 오산세교 지역 세탁기 설치 현장 소식을 전해드리려 합니다 😊
셀플러스는 오산세교를 비롯한 전국 각지에서
청년주택, 원룸, 게스트하우스, 숙박시설, 공동세탁실 등 다양한 공간에
세탁기와 건조기를 설치하며 편리한 생활 인프라를 만들어가고 있습니다.
세탁기 1대부터 대형 코인빨래방 설비까지 —
규모와 상관없이 고객의 공간에 맞춘 맞춤형 세탁 솔루션을 제공합니다.
설치 후에는 정기 점검, 필터 청소, 성능 테스트 등
사후 관리 서비스까지 함께 진행되어 장기적으로도 안정적인 사용이 가능합니다.
이번 오산세교에서는 삼성 상업용 세탁기 1대를 설치 완료하였습니다
삼성 상업용 세탁기는 초정밀 진동 저감 시스템으로 고속탈수 시에도 진동과 소음 없이 조용하게 돌아가고, 버블 클렌징 세탁으로 무려 2.5배 빠르게 빨랫감에 스며들어 시간을 절약 가능합니다.
삼성 상업용 건조기는 양문형 크리스탈 블루 도어로 좌/우 도어오픈으로 장소에 상관없이 자유로운 설치가 가능하고, 이중 매쉬구조 올인원 필터로 확실하게 먼지를 모아주고 손쉽게 분리청소가 가능합니다.
삼성 상업용 세탁기와 건조기로 시간과 노력을 절약해 보세요~</t>
  </si>
  <si>
    <t>https://storep-phinf.pstatic.net/cafe_004/original_1.png?type=p100_100|||https://postfiles.pstatic.net/MjAyNTEwMjJfMjMx/MDAxNzYxMDkyNDY1ODI4.u8rwbfms1p-rMBwhY4peC5sG58_pgJVWvMFbCzZWMYIg.3rKALcH16ac6WZuCee6fnJDDCDwdkNcMDv-VnBEDVfcg.JPEG/%EB%B8%94%EB%A1%9C%EA%B7%B8%ED%8B%801.jpg?type=w80_blur|||https://postfiles.pstatic.net/MjAyNTEwMjJfMjIy/MDAxNzYxMDkyNDY4NTM4.Dn1Pjp2_IEneihziW1mN1f_OXSULOC9zwqGbJZHER4gg.K3EXdFQbUOoL7OYSV5ow0JnVH-d4fLI2oppd1Dly1Gwg.JPEG/%EB%B8%94%EB%A1%9C%EA%B7%B8%ED%8B%802.jpg?type=w80_blur|||https://postfiles.pstatic.net/MjAyNTEwMjJfNzMg/MDAxNzYxMDkyNDcwODY0.dRmblkIBLjH5yB80sJ9fs6GsXicFoxFOZ7l6UjU8b7cg.FsMK8L0YnHubbDIFGoJyobDgPyRaWFhD2ExAKT9Wtoog.JPEG/%EB%B8%94%EB%A1%9C%EA%B7%B8%ED%8B%803.jpg?type=w80_blur|||https://storep-phinf.pstatic.net/cafe_004/original_16.png?type=p100_100|||https://postfiles.pstatic.net/MjAyNTEwMjJfMjI1/MDAxNzYxMDkyNDczOTc0.R878WYCpVrPuLRjfAg0544LVZM2EuFfQrsg1lPz136Mg.7tsyZqI4JGCiEtQv1lCCKx2rt_BgmfPYWf4luZOqFyYg.JPEG/%EB%B8%94%EB%A1%9C%EA%B7%B8%ED%8B%804.jpg?type=w80_blur</t>
  </si>
  <si>
    <t>[셀플러스/셀빨래방] 하월곡동 청년주택 상업용.. : 네이버블로그</t>
  </si>
  <si>
    <t xml:space="preserve">청년 입주민들의 생활 편의를 높이기 위해 셀플러스에서 세탁기와 건조기를 설치했는데요. 이번 설치로 세탁실 환경이 한층 더 쾌적하고 효율적으로 바뀌었습니다. 셀플러스는 청년주택, 원룸, 기숙사 등... </t>
  </si>
  <si>
    <t>https://blog.naver.com/sell1993/224047479586</t>
  </si>
  <si>
    <t>최근 하월곡동 청년주택에 새로운 변화가 찾아왔습니다.
청년 입주민들의 생활 편의를 높이기 위해 셀플러스에서 세탁기와 건조기를 설치했는데요.
이번 설치로 세탁실 환경이 한층 더 쾌적하고 효율적으로 바뀌었습니다.
셀플러스는 청년주택, 원룸, 기숙사 등 공동생활 공간에 맞춘 세탁 솔루션 전문 기업으로,
공간의 특성과 이용 패턴을 고려한 최적의 시스템을 제공합니다.
하월곡동 청년주택은 청년 1인 가구를 위해 조성된 주거공간으로,
생활의 편리함과 공동체적 가치를 동시에 추구하는 곳입니다.
입주민들이 매일 사용하는 공용 세탁실은 특히 위생과 효율이 중요하기 때문에
이번 셀플러스 설치 프로젝트는 큰 의미가 있습니다.
이번 현장에는 삼성 프리미엄 드럼세탁기와 고효율 건조기가 함께 설치되었으며,
공간에 딱 맞는 배치와 깔끔한 마감으로 세련된 분위기를 더했습니다.
입주민들은 버튼 한 번으로 간편하게 세탁과 건조를 마칠 수 있어
불필요한 대기 시간 없이 빠르고 깨끗한 세탁이 가능합니다.
저희는 하월곡동 청년주택에 1단 3세트를 설치했습니다.
셀플러스는 단순한 세탁기 설치 업체가 아닙니다.
공간 분석부터 전기·배수 라인 설계, 시공, 유지보수까지
토탈 세탁 관리 시스템을 제공합니다.
이번 하월곡동 청년주택 프로젝트에서도
공간 효율성을 높이기 위해 세탁기와 건조기의 동선, 통풍 구조, 안전성을 꼼꼼히 검토했습니다.
특히 공동세탁실 특성상 다수의 사용자가 이용하기 때문에
내구성이 강하고 소음이 적은 모델을 선정하여 장기적으로 안정적인 운영이 가능하도록 했습니다.
설치 후에도 셀플러스에서는 정기 점검 및 사후 관리 서비스를 통해
기기의 성능 유지와 위생 관리를 책임지고 있습니다.
입주민들이 언제나 깨끗한 세탁 환경을 이용할 수 있도록
CCTV 모니터링과 필터 청소, 점검 서비스를 주기적으로 시행합니다.
전기,닥트,급수,배수 작업도 다 완료하였습니다.
이로써 여수 아로하 팬션에 삼성 상업용 세탁기 건조기 설치를 완료했습니다
삼성 상업용 세탁기는 초정밀 진동 저감 시스템으로 고속탈수 시에도 진동과 소음 없이 조용하게 돌아가고, 버블 클렌징 세탁으로 무려 2.5배 빠르게 빨랫감에 스며들어 시간을 절약 가능합니다.
삼성 상업용 건조기는 양문형 크리스탈 블루 도어로 좌/우 도어오픈으로 장소에 상관없이 자유로운 설치가 가능하고, 이중 매쉬구조 올인원 필터로 확실하게 먼지를 모아주고 손쉽게 분리청소가 가능합니다.
삼성 상업용 세탁기와 건조기로 시간과 노력을 절약해 보세요~</t>
  </si>
  <si>
    <t>https://postfiles.pstatic.net/MjAyNTEwMjBfMjE2/MDAxNzYwOTQwMDIwNTAy.k4-F1j8rfvdb3D4Fm-FEPJby4ilw2QkwRXK20kt6OWkg.gN-LIBrbQQQ95JknIpv_555tek7bgOHur7ayj9csdMQg.JPEG/%EB%B8%94%EB%A1%9C%EA%B7%B8_1.jpg?type=w773|||https://postfiles.pstatic.net/MjAyNTEwMjBfMjUy/MDAxNzYwOTQwMDI0NzM1.NK292i_ZRQa1564b8HWywn23ywtmLuFkna2gVzPLJjkg.udHhksmLYXCdw62U05zn6mnqmeCVeXg86lK4MxqVwIwg.JPEG/%EB%B8%94%EB%A1%9C%EA%B7%B8_2.jpg?type=w80_blur|||https://postfiles.pstatic.net/MjAyNTEwMjBfMTgy/MDAxNzYwOTQwMDMyMzEy.lHe_YkaX-jUAadP4UHfoPzotsNRk-knaeC193J0ETnIg.qNvSIQc_IGwuyIoT61rHrOpndeN8E0lY1r6--cf8LHMg.JPEG/%EB%B8%94%EB%A1%9C%EA%B7%B8_3.jpg?type=w80_blur|||https://postfiles.pstatic.net/MjAyNTEwMjBfMTY3/MDAxNzYwOTQwMDM1Nzk2.OD50QoJSTqRAyZfYXcCyIcqIIBBUTuzypVwCtUo6oGkg.KREXtvwpNZVgFDyVc2my8-9ASkuRtE7e5G9C9SiJ4_kg.JPEG/%EB%B8%94%EB%A1%9C%EA%B7%B8_4.jpg?type=w80_blur</t>
  </si>
  <si>
    <t>250828_2025 카페&amp;베이커리페어 구경 : 네이버 블로그</t>
  </si>
  <si>
    <t xml:space="preserve">감사하게 받아서 찔끔찔끔 열심히 마셨다 셀플러스 스튜디오 ㄴ 왜 큰 기업인지 알겠음. 메뉴 대부분이 다 적당한 단맛 적당한 간임. 와 미친듯이 맛있다는 아니어도 평타는 치는 느낌… 다른 곳은 엥⍤⃝? 싶게... </t>
  </si>
  <si>
    <t>blog.naver.com/deokbae_life</t>
  </si>
  <si>
    <t>https://blog.naver.com/deokbae_life/224040913605</t>
  </si>
  <si>
    <t>deokbae_life</t>
  </si>
  <si>
    <t>동아리 친구 데리고 온 카페 베이커리 페어
들어가자마자 라떼아트를 한 잔 말아주셨다
근데 중요한건 나랑 친구랑 둘 다 커피를 못마신다...
감사하게 받아서 찔끔찔끔 열심히 마셨다
셀플러스 스튜디오
ㄴ 왜 큰 기업인지 알겠음. 메뉴 대부분이 다 적당한 단맛 적당한 간임. 와 미친듯이 맛있다는 아니어도 평타는 치는 느낌… 다른 곳은 엥⍤⃝? 싶게 단 곳이 너무나 많았다. 시연쇼도 그렇고 제휴맺는 곳은 확실히 뭐가 다르긴하나 싶었음
푸딩 파는곳 맛있었다
다음에 보이면 하나 사오려고
코너케이크스튜디오 브레드푸딩 두개에 만원
복숭아가 맛있음
에버티
세련됨과 전통 중간쯤에 위치한 느김
새로나온 루이보스카라멜향 밀크티백 출시기념 사먹을만함 근데 굉장히 달아요
여기서부터 티마카세가 시작됨...
어딜 둘러봐도 다 3대째 찻집... 명장... 뭐시기 표창수상 이런곳들이라
여유로움 짬이 다르셨음
시음해보고 싶었던 A차 가능하냐고 여쭤보니까
아 A는 5분정도 기다려야해서~ 일단 B부터 마셔봐요~ 하면서 냅다 모든 차를 따라주심
이 부근에 있는 모든차가 맛있었음
장인의 손맛은 이런걸까
하동 요산당&amp;일구다
차분~히 차에 대해 설명해주시고 차 맛도 너무 좋았아!!
누구 선물할 때 사주고싶은 차임
이건 그냥 중간에 보였던 양념장인데
틈새시장 미쳤음
양념맛도 너무 좋고
이날 판매하는건 아니라고 하셔서 안타까웠다
판매하셨으면 엄청난 매출을 찍으셨을텐데
친구는 여기서 하나 샀다
티마카세on
맛의 깊이가 다르다... 겨우살이차가 참 내취향이었음 본가에 하나 사다둘까 고민중
소아다원
말차라떼 맛 좋았어! 다음 페어에서 보이면 살 목록 중 하나
가천산방
자색 돼지감자차 대박맛있음
티하우스 나니
ㄴ 만들어진 밀크티 파시는곳 사장님이 굉장히 호감형 솔직타입 지금 드실거아니면 상하니까 사지말래
미쓰리 떡볶이
ㄴ 소스 5봉 팔천원 진짜 괜찮음… 진짜 맛이 좋았고 딱 베이직 맛있음 자극적
죽림다원
호지차 구매
차가 정말 맛있따
무차 스틱차
위스키에 블랜딩하려고 루이보스 윈터 스틱차 구매
향이 굉장히 좋아서 술이랑 블랜딩하면 잘어울릴 것 같았음
아무튼 그렇게 이래저래 사고 집으로 돌아옴
저 제로 감튀는 사고보니 말티톨이라서 아 판단 잘못했다 싶었지만
그냥 일반 과자치고도 가격 나쁘지 않아서 그냥 감내하기로함...
&lt;후기&gt;
하동 요산당, 죽림다원, 소아다원, 가천산방 등등
차를 전문으로 하는 곳들이 다 맛이 좋았다
은행칩,프로틴연어칩 와사비마요, 동결건조 딸기도 맛이 괜찮았다
사진이 없는 것들 후기는
티후 - 헤이즐넛향 호지차 / 위스키나 깔루아에 블랜딩하면 참 맛있을 것 같았어
수월경화
ㄴ레몬석양 괜찮았어! 얘는 진토닉 블랜딩이 잘어울릴듯
윳차
ㄴ선데이뷱클럽 / 진토닉에 블랜딩하디 좋을듯
Beneti
ㄴ 티라미수랑 판나코타 샘플 팔던 곳. 3000원에 이정도면 괜찮다 싶다가도 사보이 아르디가 좀 부족하고, 생크림은 알아서 사야하긴해서… 그럼 대체 뭘 준비해주신건가 싶어서 안삼 그리고 카드결제안됨
3관에 있던 곳들이 대체로 퀄리티가 높았다... 특히 차종류
젊은 사장님들이 하는 곳은 패키지는 예쁘고 눈은 즐거운데 맛이 깊지가 않다…
나이가 좀 있으신 분들은 기본적으로 뿜어내는 여유가 좀 다르고…
차 맛도 깊이가 다르다
차가 정말 맛있었다
사실 처음엔 패키지를 좀 더 트랜디하게 바꾸면 더 장사가 잘 되지 않을까? 싶었는데
걍 맛으로 압도하심
바꿔생각하면 저 패키지로 지금까지 명맥이 유지되는거엔 다 이유가 있는거임…
연륜과 짬을 고작 디자인으로 이길 순 없다는걸 알았고
역시 포장보단 속에 든게 돌인지 보석인지가 중요하구나…
연륜 있으신 분들의 차 맛이 진짜 짱이었다
그리고!!!
휘낭시에도 르뱅쿠키도 너무 느끼하고 별로였다…
젤라또도….머니샌드도… 디저트관에 있던것들은 거의 실망스러웠다...
내가 버터맛이 강한걸 싫어하는건지 그냥 이 집들이 못하는 건지는 몰겠음
근데 같이간 친구도 굉장히 별로라고 했다
그리고 확실히 난 그냥 치아바타, 글레이즈 도넛 이런쪽이 훨씬 좋음.
뭐시기 뚱카롱 뭐시기 크림왕창와플 그림빵 이런거 진짜 너무 싫고 누가 유행시켰는지 너무 미워질정도로 싫음 ㅠㅠ
맛의 밸런스라는게 없고 그냥...너무별로...
그리고 거의 다 너무 달거나 대체당 쓴 건 대체당 맛이 너무 잘 느껴져서 별로였음
너무 달고 자극적인게 이제 별로 안땡기나
밀크티 베이스같은거는 걍 집에서 내가 만드는게 더 맛있다
초코는 그리고 무조건 베이직 다크초콜릿이 좋음
코팅초코맛 강한 걍 예쁜 디저트 넘 별루
원액이나 그런것보단 차 구경하고 마시는게 훨씬 재밌었다
과거엔 달달한 청, 원액 이런거 마시고 사오는거 좋아했는데 입맛이 변했나봄
재료의 기본 맛에 충실한게 좋아
다음엔 티 페어에 꼭 가봐야겠다</t>
  </si>
  <si>
    <t>https://postfiles.pstatic.net/MjAyNTEwMTRfOTcg/MDAxNzYwNDIxOTAwNzA2.hqRidglH1sp6qCkKTA-Q-31dALPmolksYf5q9jWFGj8g.vbYrPiQO5COPhWGOjSwzHUt3FstNEM80HeA0uQBOqxwg.JPEG/IMG_6360.JPG?type=w966|||https://postfiles.pstatic.net/MjAyNTEwMTRfMTUy/MDAxNzYwNDIxOTAxNzEy.sLbewwyC8kQ0hDoRVHxNOvtdG7bbarLlzoYmBdajVnkg.3hXlIMMILDj2acok9__eIBlx209IxoQ7Jb7DkaRBHv0g.JPEG/IMG_6362.JPG?type=w80_blur|||https://postfiles.pstatic.net/MjAyNTEwMTRfMTM0/MDAxNzYwNDIxOTAyOTc4.to-RrIlNCN1ZYi7H0_J5jxM1zhjEQ9V5IcMpHri846Ig.YkrFJdANmxAtd75ZWaEFJ7yyU6Qt6qM02Gp1-_w4yN4g.JPEG/IMG_6363.JPG?type=w80_blur|||https://postfiles.pstatic.net/MjAyNTEwMTRfMTM2/MDAxNzYwNDIxODkyNDE3.h4qFC02o2A2hrfhTu62Tvcla7bmNqPnZQX7BupfcpZsg.ZlbwWPXDtcyb_42_L6aLw6db47rCqYj6E3sP-C8QOagg.JPEG/IMG_6366.JPG?type=w80_blur|||https://postfiles.pstatic.net/MjAyNTEwMTRfMjIg/MDAxNzYwNDIxODkyNjYx.rvh_0yP5MQSNVKkf5ulhjgyWuZ-i7Lqch-DJxW-2mPIg.kj3F7KamZutyjXwoUY6UdG1p6ZCNczIU9a1IpT03CYkg.JPEG/IMG_6367.JPG?type=w80_blur|||https://postfiles.pstatic.net/MjAyNTEwMTRfMjE3/MDAxNzYwNDIxODkzMzk1.U2nEjeXHCQVO8SLpuST28z6thI32Z_SfHFwV2pQe10kg.NjMy38rHLcOjfElA-U1srG0exGbZz35YCdh5tpRe71kg.JPEG/IMG_6368.JPG?type=w80_blur|||https://postfiles.pstatic.net/MjAyNTEwMTRfMTQx/MDAxNzYwNDIxODk1NDUx.IAEPZL6SPP419ioexzY4R16_mnHqHzqIM3c7rJ95m0Eg.oYvfecqlbo3Zq9T6X8llzmHiXevSQrtc5z2xOTOeHjkg.JPEG/IMG_6369.JPG?type=w80_blur|||https://postfiles.pstatic.net/MjAyNTEwMTRfMTg5/MDAxNzYwNDIxODk2NDg1.1tfcW4w5q6PDNUgZByq8rs21b78z3K_pMJVurBIxMawg.fsPv0BGNUfPX0wryG7QaQhIkCoyqaUMPaN2ndfYw0YAg.JPEG/IMG_6373.JPG?type=w80_blur|||https://postfiles.pstatic.net/MjAyNTEwMTRfMTIw/MDAxNzYwNDIxODk2NzU3.OYvKCUP49MDqPZEHMmnGzngo77BMNPqc0yPVufnkeuAg.NSFA-uQUaMKs4Q3gNwH20GHOzIQTHLF75RuaKz2FSWkg.JPEG/IMG_6374.JPG?type=w80_blur|||https://postfiles.pstatic.net/MjAyNTEwMTRfMjE1/MDAxNzYwNDIxODk3NTQ4.Ux5-R-aVR3ZCgqeX5blMMuhVw3lbmydkBf2XHA8g2XEg.YFBcbrqYrWTxJgulrb_ypJeZBN48SxVVADHdrOcqWAUg.JPEG/IMG_6377.JPG?type=w80_blur|||https://postfiles.pstatic.net/MjAyNTEwMTRfNDgg/MDAxNzYwNDIxODk5NTQ2.RK8cfuztMD_1V3KdHji15-38t9H_DCfUdMZqQKKpUNIg.K9NxHxEtl-cp7TQcgst4B5SQ5MICEyPD-VJYlq62bpsg.JPEG/IMG_6384.JPG?type=w80_blur|||https://postfiles.pstatic.net/MjAyNTEwMTRfNDEg/MDAxNzYwNDIxOTAwMjcw.PQ88ulMF5oEOzhm14pZfYTDwqAcum7mJTU5FF8NT5V0g.EwvydI-nzsSgrTHvWWAr1iDQYoAUB2Sn-o4YNsT9YWUg.JPEG/IMG_6387.JPG?type=w80_blur|||https://postfiles.pstatic.net/MjAyNTEwMTRfMTY0/MDAxNzYwNDIxODk5Mzk0.6IU8rJhMSfz9EGgIrPvnN0c8eXHZS5AS6qYyRivX0mog.uA4dcNjqcOy74JAJQsO1iuPeatRIIk3zv0VII9dZoX4g.JPEG/IMG_6388.JPG?type=w80_blur|||https://postfiles.pstatic.net/MjAyNTEwMTRfMTM5/MDAxNzYwNDIxODkzODU1.u-8WIKmQyh5-fByq8sEhfQRD6lAEFjd0KDuqbBje4YUg.LUwUC5OeHeyMJYESTjmqBfdDBIGwl_zL1znYMyMy0hwg.JPEG/IMG_6389.JPG?type=w80_blur|||https://postfiles.pstatic.net/MjAyNTEwMTRfNjIg/MDAxNzYwNDIxODkzMzg5.bSVg-T5x3lfcPqubEgmNlylmAB__A_Z2fHZWdLMg6gsg.vNW0r12fNrcKlNTUEIYkCmF0dSJNz7_rEy3hQK6j-bog.JPEG/IMG_6390.JPG?type=w80_blur|||https://postfiles.pstatic.net/MjAyNTEwMTRfMjU2/MDAxNzYwNDIxODk2MTA5.JsDflMVgkKzt2nkyqRLoLfP1jHWDXXHgVe8QxwI4yuYg.tgxMp6OgC3hajK0isKcxhPEhGD79pyMV28zcMyaLSm0g.JPEG/IMG_6392.JPG?type=w80_blur|||https://postfiles.pstatic.net/MjAyNTEwMTRfMjIx/MDAxNzYwNDIxODk1Njk4.LRJxCSgRB34GD7vLQHb63l3QwlPVc7L4mvLUFJWn9ZYg.UaJCMv68IKCC8jc0SoXE4_OFqMAdF16SLsuC4DivEBEg.JPEG/IMG_6393.JPG?type=w80_blur|||https://postfiles.pstatic.net/MjAyNTEwMTRfMTgg/MDAxNzYwNDIxODk2ODc3.QeST0IUlJ7rByClBToCwIR_378ODegvQViTGjLCbFDcg.bcvd5bUUI_dt0R34gIzze0h5SY5wAefb6FetuV363Wcg.JPEG/IMG_6400.JPG?type=w80_blur|||https://postfiles.pstatic.net/MjAyNTEwMTRfMTYw/MDAxNzYwNDIxOTAwNjYz.IhoEgwIGNVnsbT3wuf7Z73zYxw6erAnUZNEPuU_1RJog.YHDor5Ccsls0WT-PksMebp3uWFgVrhCGDod6h2bW99kg.JPEG/IMG_6403.JPG?type=w80_blur|||https://postfiles.pstatic.net/MjAyNTEwMTRfMjcy/MDAxNzYwNDIxODk5MDk0.wW9YY2tevuGNy61PGtIC1GgoaMzIg_yTGyk6n43gyhAg.qguF4waxmdpzLkbWZUJBRnlXs5PIHkGdtv4EKXS-eGsg.JPEG/IMG_6423.JPG?type=w80_blur|||https://postfiles.pstatic.net/MjAyNTEwMTRfMjk0/MDAxNzYwNDIxOTAxMTM1.ATHqlzWCE5mpizIJlUXNd04tuJoIuCfzmiaMm05pPhog.kZkkdbr8pJkCALSdCu2y0dyTTCGEPy9jpWU9gi4W9bsg.JPEG/IMG_6424.JPG?type=w80_blur|||https://postfiles.pstatic.net/MjAyNTEwMTRfODcg/MDAxNzYwNDIxOTAxODc0.Hv2ULlTMxVZY3KoTvbJUslVqKChABGpqtPDE74Ss3h4g.1Dj9n-YtPW2zR7YXjZiiictQlG11I1kByMoGRjQfQyEg.JPEG/IMG_6425.JPG?type=w80_blur|||https://postfiles.pstatic.net/MjAyNTEwMTRfMjk3/MDAxNzYwNDIxOTAzNjMz.nZGglKrtgSG71xEenakgZ_F6jTm336NiSe0ditOknD0g.X-9LD1_PgeNJnK7hVW5buzo6MOPRYfAvu0mEh1mEpM0g.JPEG/IMG_6427.JPG?type=w80_blur|||https://postfiles.pstatic.net/MjAyNTEwMTRfMTEx/MDAxNzYwNDIxOTAzNTc1.2qQeXoWvK_YEHLTgxGbWsKFe7tnhBH-96C8g36LGrQQg.y3NSzL9qGgHZKbezP6y5_XX10Y3BXRAba1JGznG-jMog.JPEG/IMG_6432.JPG?type=w80_blur</t>
  </si>
  <si>
    <t>[셀플러스]여름 옷 세탁부터 보관까지! 계절 .. : 네이버블로그</t>
  </si>
  <si>
    <t xml:space="preserve">무더운 여름이 지나가고, 선선한 바람이 불어오기 시작하면 옷장 속 여름옷들을 정리할 때가 왔죠. 그냥 옷장에 넣는 것보다 세탁부터 건조, 보관까지 꼼꼼히 관리해주면 내년 여름에도 새 옷처럼 입을 수... </t>
  </si>
  <si>
    <t>blog.naver.com/selllaundry</t>
  </si>
  <si>
    <t>https://blog.naver.com/selllaundry/224039632247</t>
  </si>
  <si>
    <t>selllaundry</t>
  </si>
  <si>
    <t>무더운 여름이 지나가고, 선선한 바람이 불어오기 시작하면
옷장 속 여름옷들을 정리할 때가 왔죠.
그냥 옷장에 넣는 것보다 세탁부터 건조, 보관까지 꼼꼼히 관리해주면
내년 여름에도 새 옷처럼 입을 수 있답니다 🌿
1. 여름철 세탁, 어떻게 하면 좋을까?
여름에는 땀과 피지, 자외선 등으로 옷감이 쉽게 손상되기 때문에
세탁 방법만 조금 신경 써도 옷의 수명이 달라집니다.
👕 면 티셔츠
중성세제 사용, 찬물 세탁 후 약하게 탈수
→ 뜨거운 물은 수축을 유발하므로 반드시 찬물로 세탁하세요.
🏃‍♀️ 기능성 티셔츠 (스포츠 웨어, 드라이핏 등)
세탁망에 넣고 미지근한 물로 세탁
건조기보다는 자연건조 추천!
→ 고열은 섬유를 손상시킬 수 있으니 자연건조가 가장 좋아요.
💧 1-1. 땀 얼룩 제거 꿀팁
땀이 많이 밴 옷은 세탁만으로 냄새가 잘 빠지지 않아요.
세탁 전 미리 담가두기가 핵심입니다.
베이킹소다 또는 식초를 희석한 물에 30분 정도 담근 뒤 세탁
→ 이렇게 하면 냄새와 변색을 방지할 수 있고,
내년 여름에도 새 옷처럼 깔끔하게 입을 수 있습니다.
2. 건조도 잘해야 옷 보관이 잘된다!
건조는 단순히 물기를 말리는 게 아니라, 곰팡이와 냄새를 막는 중요한 단계예요.
직사광선을 피하세요!
→ 강한 햇빛은 색이 바래질 수 있습니다.
통풍이 잘되는 그늘에서 자연건조하기
→ 남은 습기를 제거해 곰팡이와 냄새를 예방할 수 있어요.
💡 Tip: 옷걸이에 걸어 말리면 형태가 유지되고 다림질도 훨씬 편리합니다.
3. 보관만 잘해도 옷 살 돈 절약!
세탁 후 완전히 건조된 옷만 보관해야 합니다.
습기가 남아 있으면 곰팡이가 쉽게 생기기 때문이죠.
완전 건조 후 보관해야 곰팡이 예방 가능
비닐 커버 대신 부직포 커버나 통기성 좋은 의류박스 사용
→ 비닐은 내부에 습기가 차기 쉬워 오히려 옷을 상하게 할 수 있어요.
4. 세탁 전 준비 팁
세탁 전 작은 점검이 옷의 수명을 크게 좌우합니다.
주머니 속 내용물 확인, 지퍼나 단추의 녹 여부 체크
소재별(면, 린넨, 기능성 의류)로 분리 세탁 및 따로 보관
세탁 라벨은 반드시 확인하기!
→ 옷마다 세탁법이 달라, 라벨 확인만 잘해도 옷감 손상을 줄일 수 있습니다.
5. 여름옷, 좀 더 오래 가는 관리 꿀팁
보관 전 향균 세제나 섬유유연제 사용으로 냄새 제거
땀 냄새가 심한 옷은 세탁 후 햇볕에 잠깐 말려 살균 효과 UP!
드라이클리닝이 필요한 옷(와이셔츠, 블라우스 등)은 따로 분류
→ 관리가 필요한 옷을 미리 구분해두면 다음 계절에 훨씬 깔끔하게 입을 수 있어요.
6. 보관 전 준비사항
보관 환경만 잘 만들어줘도 옷의 수명을 지킬 수 있습니다.
옷장 안 습기 제거 필수! 제습제와 방충제 함께 넣기
진공 압축팩보다는 통기성 좋은 천 재질 박스 사용
→ 습기가 갇히지 않아 곰팡이 발생을 줄일 수 있어요.
7. 계절 전환 옷 정리 루틴
옷 정리는 단순한 ‘청소’가 아니라 계절을 바꾸는 작은 루틴이에요.
철 지난 여름옷은 헌옷 수거함에 기부하기
여름 옷 정리와 함께 가을 옷 점검하기
옷장 문을 열고 환기 시켜주기
→ 옷장 내부의 습기와 냄새를 없애주면 옷이 훨씬 오래 갑니다.
한 계절을 함께한 옷들을 정리하고 새로운 계절을 맞이하는 건
단순한 청소가 아니라 생활의 리듬을 되찾는 과정이에요.
이번 주말엔 여름 옷 세탁부터 보관까지 정리해보세요.
다음 여름, 옷장을 열었을 때 그 깔끔함에 기분이 절로 좋아질 거예요</t>
  </si>
  <si>
    <t>https://postfiles.pstatic.net/MjAyNTEwMTNfMjY5/MDAxNzYwMzM0NTQ3OTUw.CR1k1J8SUY9zJ7Zw744DQfVSwqTUdkyEtRQ4TetHxpAg.sYhKjlCdWTNO4yMIdFW7mTirm74U0hgAo__geOSrUC8g.JPEG/1.jpg?type=w773|||https://postfiles.pstatic.net/MjAyNTEwMTNfMTA2/MDAxNzYwMzM0NTUwNzE5.PVobZNZ2jjv-A2ex0VjIa-4jbgh9LlMaN08Q7UKFpYAg.xxab8J3JmbBX21w0tgkBREDmy2Of9CEw65O4pRIC9gMg.JPEG/2.jpg?type=w80_blur|||https://postfiles.pstatic.net/MjAyNTEwMTNfNTUg/MDAxNzYwMzM0NTU0MTA5._vF7v2GiTRjInIjI6a1iQPOiBG5JiJCsfLgfyMtgxX8g.Ia8nzMxKy8jlZ_zH-AMNEJv6t7-TJQZzBcRX_TXvy3Eg.JPEG/3.jpg?type=w80_blur|||https://postfiles.pstatic.net/MjAyNTEwMTNfMjk4/MDAxNzYwMzM0NTU2ODIy.ExEoSKccblcWdoDqZF6uEcWiXFGZ3AVUrto5ycCNPjsg.zJ_LkEIJ4FXGkBVEj3XSPfhQKsowyi3kudKbWG_blkUg.JPEG/4.jpg?type=w80_blur|||https://postfiles.pstatic.net/MjAyNTEwMTNfMTUg/MDAxNzYwMzM0NTU5NDU0.9TbkRLpR8oMybdB4WanZadfc4qaTGBbEsH5fNWkVAt4g.iWRyZI47fXQ1SJta9ewayr-cUAyS_ZA78-AfNgJ845Ag.JPEG/5.jpg?type=w80_blur|||https://postfiles.pstatic.net/MjAyNTEwMTNfMTQz/MDAxNzYwMzM0NTYzMTc4.JVC76KeaHjfLqV0d9Pe2uHX81prkCNvGwy1Dz0IpZmAg.kdHebFjsBCXbxkbsLMQXOn_cE7zg-nohVO3Bd_ZyZjog.JPEG/6.jpg?type=w80_blur|||https://postfiles.pstatic.net/MjAyNTEwMTNfMTA0/MDAxNzYwMzM0NTY1ODgx._v11avf7GrZxe9Tembpn5IPe4cYPT9Z36XzFpSvMBgAg.CUcRo7cCJSvb3D4eo1pkRkdFa7MtYmXyaRrXRTWkXlsg.JPEG/7.jpg?type=w80_blur|||https://postfiles.pstatic.net/MjAyNTEwMTNfNjkg/MDAxNzYwMzM0NTY4Mzkx.j3BEqbglByJkYA9GGNqWZyF44v_U1muNjp4TL0knZdUg.KnSFhx0hEIGn1X5Eb4l-DioGYNeRsqGld69Y3Ligi2kg.JPEG/8.jpg?type=w80_blur|||https://postfiles.pstatic.net/MjAyNTEwMTNfMTk2/MDAxNzYwMzM0NTcwOTgx.AJXmdWjQdJD4DA0Jfn4pJ1ihA854SC63cK-_EVTjP2wg.TBZ53texPbUvT3HPn23tHM5ZkYg1qz8oquoZ6jyf200g.JPEG/9.jpg?type=w80_blur|||https://postfiles.pstatic.net/MjAyNTEwMTNfMTc0/MDAxNzYwMzM0NTczNTI0.OYafXcFpMmCfzpyePLzsam8LU7g9FvtpZ10u4UY_hikg.ZoUkGwsdcwpAeWDI9nHlhxxA7lU2phnxJ_jrFIiasKMg.JPEG/10.jpg?type=w80_bl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</si>
</sst>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5">
    <xf numFmtId="0" fontId="0" fillId="0" borderId="0" xfId="0">
      <alignment vertical="center"/>
    </xf>
    <xf numFmtId="0" fontId="0" fillId="0" borderId="0" xfId="0" applyAlignment="1">
      <alignment vertical="center" wrapText="1"/>
    </xf>
    <xf numFmtId="22" fontId="0" fillId="0" borderId="0" xfId="0" applyNumberFormat="1">
      <alignment vertical="center"/>
    </xf>
    <xf numFmtId="10" fontId="0" fillId="0" borderId="0" xfId="0" applyNumberFormat="1">
      <alignment vertical="center"/>
    </xf>
    <xf numFmtId="9" fontId="0" fillId="0" borderId="0" xfId="0" applyNumberForma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BF96D-E35F-BA4E-9288-120DA061A847}">
  <dimension ref="A1:T907"/>
  <sheetViews>
    <sheetView tabSelected="1" topLeftCell="C1" workbookViewId="0">
      <selection activeCell="L1" sqref="L1:L1048576"/>
    </sheetView>
  </sheetViews>
  <sheetFormatPr baseColWidth="10" defaultRowHeight="18"/>
  <cols>
    <col min="12" max="12" width="0" hidden="1" customWidth="1"/>
  </cols>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ht="409.6">
      <c r="A2" t="s">
        <v>20</v>
      </c>
      <c r="B2" t="s">
        <v>21</v>
      </c>
      <c r="C2" t="s">
        <v>22</v>
      </c>
      <c r="D2" t="s">
        <v>23</v>
      </c>
      <c r="E2" t="s">
        <v>24</v>
      </c>
      <c r="F2" t="s">
        <v>25</v>
      </c>
      <c r="G2" s="1" t="s">
        <v>26</v>
      </c>
      <c r="H2" t="s">
        <v>27</v>
      </c>
      <c r="I2">
        <v>20251102</v>
      </c>
      <c r="J2">
        <v>8</v>
      </c>
      <c r="K2">
        <v>0</v>
      </c>
      <c r="L2" t="s">
        <v>28</v>
      </c>
      <c r="T2" s="2">
        <v>45964.258067129631</v>
      </c>
    </row>
    <row r="3" spans="1:20" ht="409.6">
      <c r="A3" t="s">
        <v>20</v>
      </c>
      <c r="B3" t="s">
        <v>29</v>
      </c>
      <c r="C3" t="s">
        <v>30</v>
      </c>
      <c r="D3" t="s">
        <v>31</v>
      </c>
      <c r="E3" t="s">
        <v>32</v>
      </c>
      <c r="F3" t="s">
        <v>33</v>
      </c>
      <c r="G3" s="1" t="s">
        <v>34</v>
      </c>
      <c r="I3">
        <v>20251102</v>
      </c>
      <c r="J3">
        <v>14</v>
      </c>
      <c r="K3">
        <v>0</v>
      </c>
      <c r="L3" t="s">
        <v>35</v>
      </c>
      <c r="T3" s="2">
        <v>45964.258067129631</v>
      </c>
    </row>
    <row r="4" spans="1:20" ht="409.6">
      <c r="A4" t="s">
        <v>20</v>
      </c>
      <c r="B4" t="s">
        <v>36</v>
      </c>
      <c r="C4" t="s">
        <v>37</v>
      </c>
      <c r="D4" t="s">
        <v>38</v>
      </c>
      <c r="E4" t="s">
        <v>39</v>
      </c>
      <c r="F4" t="s">
        <v>40</v>
      </c>
      <c r="G4" s="1" t="s">
        <v>41</v>
      </c>
      <c r="H4" t="s">
        <v>42</v>
      </c>
      <c r="I4">
        <v>20251102</v>
      </c>
      <c r="J4">
        <v>30</v>
      </c>
      <c r="K4">
        <v>0</v>
      </c>
      <c r="L4" t="s">
        <v>43</v>
      </c>
      <c r="R4" t="s">
        <v>44</v>
      </c>
      <c r="T4" s="2">
        <v>45964.258067129631</v>
      </c>
    </row>
    <row r="5" spans="1:20" ht="409.6">
      <c r="A5" t="s">
        <v>20</v>
      </c>
      <c r="B5" t="s">
        <v>45</v>
      </c>
      <c r="C5" t="s">
        <v>46</v>
      </c>
      <c r="D5" t="s">
        <v>47</v>
      </c>
      <c r="E5" t="s">
        <v>48</v>
      </c>
      <c r="F5" t="s">
        <v>49</v>
      </c>
      <c r="G5" s="1" t="s">
        <v>50</v>
      </c>
      <c r="I5">
        <v>20251102</v>
      </c>
      <c r="J5">
        <v>6</v>
      </c>
      <c r="K5">
        <v>0</v>
      </c>
      <c r="L5" t="s">
        <v>51</v>
      </c>
      <c r="Q5" t="s">
        <v>52</v>
      </c>
      <c r="T5" s="2">
        <v>45964.258067129631</v>
      </c>
    </row>
    <row r="6" spans="1:20" ht="409.6">
      <c r="A6" t="s">
        <v>20</v>
      </c>
      <c r="B6" t="s">
        <v>53</v>
      </c>
      <c r="C6" t="s">
        <v>54</v>
      </c>
      <c r="D6" t="s">
        <v>55</v>
      </c>
      <c r="E6" t="s">
        <v>56</v>
      </c>
      <c r="F6" t="s">
        <v>57</v>
      </c>
      <c r="G6" s="1" t="s">
        <v>58</v>
      </c>
      <c r="H6" t="s">
        <v>59</v>
      </c>
      <c r="I6">
        <v>20251102</v>
      </c>
      <c r="J6">
        <v>16</v>
      </c>
      <c r="K6">
        <v>0</v>
      </c>
      <c r="L6" t="s">
        <v>60</v>
      </c>
      <c r="Q6" t="s">
        <v>61</v>
      </c>
      <c r="T6" s="2">
        <v>45964.258067129631</v>
      </c>
    </row>
    <row r="7" spans="1:20" ht="409.6">
      <c r="A7" t="s">
        <v>20</v>
      </c>
      <c r="B7" t="s">
        <v>62</v>
      </c>
      <c r="C7" t="s">
        <v>63</v>
      </c>
      <c r="D7" t="s">
        <v>64</v>
      </c>
      <c r="E7" t="s">
        <v>65</v>
      </c>
      <c r="F7" t="s">
        <v>66</v>
      </c>
      <c r="G7" s="1" t="s">
        <v>67</v>
      </c>
      <c r="H7" t="s">
        <v>68</v>
      </c>
      <c r="I7">
        <v>20251102</v>
      </c>
      <c r="J7">
        <v>16</v>
      </c>
      <c r="K7">
        <v>0</v>
      </c>
      <c r="L7" t="s">
        <v>69</v>
      </c>
      <c r="T7" s="2">
        <v>45964.258067129631</v>
      </c>
    </row>
    <row r="8" spans="1:20" ht="409.6">
      <c r="A8" t="s">
        <v>20</v>
      </c>
      <c r="B8" t="s">
        <v>70</v>
      </c>
      <c r="C8" t="s">
        <v>71</v>
      </c>
      <c r="D8" t="s">
        <v>72</v>
      </c>
      <c r="E8" t="s">
        <v>73</v>
      </c>
      <c r="F8" t="s">
        <v>74</v>
      </c>
      <c r="G8" s="1" t="s">
        <v>75</v>
      </c>
      <c r="I8">
        <v>20251101</v>
      </c>
      <c r="J8">
        <v>2</v>
      </c>
      <c r="K8">
        <v>0</v>
      </c>
      <c r="L8" t="s">
        <v>76</v>
      </c>
      <c r="Q8" t="s">
        <v>77</v>
      </c>
      <c r="S8">
        <v>10070202</v>
      </c>
      <c r="T8" s="2">
        <v>45964.258067129631</v>
      </c>
    </row>
    <row r="9" spans="1:20" ht="409.6">
      <c r="A9" t="s">
        <v>20</v>
      </c>
      <c r="B9" t="s">
        <v>78</v>
      </c>
      <c r="C9" t="s">
        <v>79</v>
      </c>
      <c r="D9" t="s">
        <v>47</v>
      </c>
      <c r="E9" t="s">
        <v>80</v>
      </c>
      <c r="F9" t="s">
        <v>49</v>
      </c>
      <c r="G9" s="1" t="s">
        <v>81</v>
      </c>
      <c r="I9">
        <v>20251101</v>
      </c>
      <c r="J9">
        <v>4</v>
      </c>
      <c r="K9">
        <v>0</v>
      </c>
      <c r="L9" t="s">
        <v>82</v>
      </c>
      <c r="Q9" t="s">
        <v>83</v>
      </c>
      <c r="T9" s="2">
        <v>45964.258067129631</v>
      </c>
    </row>
    <row r="10" spans="1:20" ht="409.6">
      <c r="A10" t="s">
        <v>20</v>
      </c>
      <c r="B10" t="s">
        <v>84</v>
      </c>
      <c r="C10" t="s">
        <v>85</v>
      </c>
      <c r="D10" t="s">
        <v>47</v>
      </c>
      <c r="E10" t="s">
        <v>86</v>
      </c>
      <c r="F10" t="s">
        <v>49</v>
      </c>
      <c r="G10" s="1" t="s">
        <v>87</v>
      </c>
      <c r="I10">
        <v>20251101</v>
      </c>
      <c r="J10">
        <v>6</v>
      </c>
      <c r="K10">
        <v>0</v>
      </c>
      <c r="L10" t="s">
        <v>88</v>
      </c>
      <c r="T10" s="2">
        <v>45964.258067129631</v>
      </c>
    </row>
    <row r="11" spans="1:20" ht="409.6">
      <c r="A11" t="s">
        <v>20</v>
      </c>
      <c r="B11" t="s">
        <v>89</v>
      </c>
      <c r="C11" t="s">
        <v>90</v>
      </c>
      <c r="D11" t="s">
        <v>91</v>
      </c>
      <c r="E11" t="s">
        <v>92</v>
      </c>
      <c r="F11" t="s">
        <v>93</v>
      </c>
      <c r="G11" s="1" t="s">
        <v>94</v>
      </c>
      <c r="I11">
        <v>20251101</v>
      </c>
      <c r="J11">
        <v>5</v>
      </c>
      <c r="K11">
        <v>0</v>
      </c>
      <c r="L11" t="s">
        <v>95</v>
      </c>
      <c r="R11" t="s">
        <v>96</v>
      </c>
      <c r="T11" s="2">
        <v>45964.258067129631</v>
      </c>
    </row>
    <row r="12" spans="1:20" ht="409.6">
      <c r="A12" t="s">
        <v>20</v>
      </c>
      <c r="B12" t="s">
        <v>97</v>
      </c>
      <c r="C12" t="s">
        <v>98</v>
      </c>
      <c r="D12" t="s">
        <v>99</v>
      </c>
      <c r="E12" t="s">
        <v>100</v>
      </c>
      <c r="F12" t="s">
        <v>101</v>
      </c>
      <c r="G12" s="1" t="s">
        <v>102</v>
      </c>
      <c r="H12" t="s">
        <v>103</v>
      </c>
      <c r="I12">
        <v>20251103</v>
      </c>
      <c r="J12">
        <v>5</v>
      </c>
      <c r="K12">
        <v>0</v>
      </c>
      <c r="L12" t="s">
        <v>104</v>
      </c>
      <c r="T12" s="2">
        <v>45964.258067129631</v>
      </c>
    </row>
    <row r="13" spans="1:20" ht="409.6">
      <c r="A13" t="s">
        <v>20</v>
      </c>
      <c r="B13" t="s">
        <v>105</v>
      </c>
      <c r="C13" t="s">
        <v>106</v>
      </c>
      <c r="D13" t="s">
        <v>107</v>
      </c>
      <c r="E13" t="s">
        <v>108</v>
      </c>
      <c r="F13" t="s">
        <v>109</v>
      </c>
      <c r="G13" s="1" t="s">
        <v>110</v>
      </c>
      <c r="I13">
        <v>20251102</v>
      </c>
      <c r="J13">
        <v>17</v>
      </c>
      <c r="K13">
        <v>0</v>
      </c>
      <c r="L13" t="s">
        <v>111</v>
      </c>
      <c r="Q13" t="s">
        <v>61</v>
      </c>
      <c r="T13" s="2">
        <v>45964.258067129631</v>
      </c>
    </row>
    <row r="14" spans="1:20" ht="409.6">
      <c r="A14" t="s">
        <v>20</v>
      </c>
      <c r="B14" t="s">
        <v>112</v>
      </c>
      <c r="C14" t="s">
        <v>113</v>
      </c>
      <c r="D14" t="s">
        <v>114</v>
      </c>
      <c r="E14" t="s">
        <v>115</v>
      </c>
      <c r="F14" t="s">
        <v>116</v>
      </c>
      <c r="G14" s="1" t="s">
        <v>117</v>
      </c>
      <c r="I14">
        <v>20251102</v>
      </c>
      <c r="J14">
        <v>8</v>
      </c>
      <c r="K14">
        <v>0</v>
      </c>
      <c r="L14" t="s">
        <v>118</v>
      </c>
      <c r="T14" s="2">
        <v>45964.258067129631</v>
      </c>
    </row>
    <row r="15" spans="1:20" ht="409.6">
      <c r="A15" t="s">
        <v>20</v>
      </c>
      <c r="B15" t="s">
        <v>119</v>
      </c>
      <c r="C15" t="s">
        <v>120</v>
      </c>
      <c r="D15" t="s">
        <v>114</v>
      </c>
      <c r="E15" t="s">
        <v>121</v>
      </c>
      <c r="F15" t="s">
        <v>116</v>
      </c>
      <c r="G15" s="1" t="s">
        <v>122</v>
      </c>
      <c r="I15">
        <v>20251101</v>
      </c>
      <c r="J15">
        <v>4</v>
      </c>
      <c r="K15">
        <v>0</v>
      </c>
      <c r="L15" t="s">
        <v>123</v>
      </c>
      <c r="T15" s="2">
        <v>45964.258067129631</v>
      </c>
    </row>
    <row r="16" spans="1:20" ht="409.6">
      <c r="A16" t="s">
        <v>20</v>
      </c>
      <c r="B16" t="s">
        <v>124</v>
      </c>
      <c r="C16" t="s">
        <v>125</v>
      </c>
      <c r="D16" t="s">
        <v>99</v>
      </c>
      <c r="E16" t="s">
        <v>126</v>
      </c>
      <c r="F16" t="s">
        <v>101</v>
      </c>
      <c r="G16" s="1" t="s">
        <v>127</v>
      </c>
      <c r="H16" t="s">
        <v>128</v>
      </c>
      <c r="I16">
        <v>20251101</v>
      </c>
      <c r="J16">
        <v>5</v>
      </c>
      <c r="K16">
        <v>0</v>
      </c>
      <c r="L16" t="s">
        <v>129</v>
      </c>
      <c r="Q16" t="s">
        <v>130</v>
      </c>
      <c r="T16" s="2">
        <v>45964.258067129631</v>
      </c>
    </row>
    <row r="17" spans="1:20" ht="409.6">
      <c r="A17" t="s">
        <v>20</v>
      </c>
      <c r="B17" t="s">
        <v>131</v>
      </c>
      <c r="C17" t="s">
        <v>132</v>
      </c>
      <c r="D17" t="s">
        <v>133</v>
      </c>
      <c r="E17" t="s">
        <v>134</v>
      </c>
      <c r="F17" t="s">
        <v>135</v>
      </c>
      <c r="G17" s="1" t="s">
        <v>136</v>
      </c>
      <c r="I17">
        <v>20251101</v>
      </c>
      <c r="J17">
        <v>2</v>
      </c>
      <c r="K17">
        <v>0</v>
      </c>
      <c r="L17" t="s">
        <v>137</v>
      </c>
      <c r="Q17" t="s">
        <v>138</v>
      </c>
      <c r="T17" s="2">
        <v>45964.258067129631</v>
      </c>
    </row>
    <row r="18" spans="1:20" ht="409.6">
      <c r="A18" t="s">
        <v>20</v>
      </c>
      <c r="B18" t="s">
        <v>139</v>
      </c>
      <c r="C18" t="s">
        <v>140</v>
      </c>
      <c r="D18" t="s">
        <v>23</v>
      </c>
      <c r="E18" t="s">
        <v>141</v>
      </c>
      <c r="F18" t="s">
        <v>25</v>
      </c>
      <c r="G18" s="1" t="s">
        <v>142</v>
      </c>
      <c r="H18" t="s">
        <v>143</v>
      </c>
      <c r="I18">
        <v>20251101</v>
      </c>
      <c r="J18">
        <v>8</v>
      </c>
      <c r="K18">
        <v>0</v>
      </c>
      <c r="L18" t="s">
        <v>144</v>
      </c>
      <c r="T18" s="2">
        <v>45964.258067129631</v>
      </c>
    </row>
    <row r="19" spans="1:20" ht="409.6">
      <c r="A19" t="s">
        <v>20</v>
      </c>
      <c r="B19" t="s">
        <v>145</v>
      </c>
      <c r="C19" t="s">
        <v>146</v>
      </c>
      <c r="D19" t="s">
        <v>147</v>
      </c>
      <c r="E19" t="s">
        <v>148</v>
      </c>
      <c r="F19" t="s">
        <v>149</v>
      </c>
      <c r="G19" s="1" t="s">
        <v>150</v>
      </c>
      <c r="H19" t="s">
        <v>151</v>
      </c>
      <c r="I19">
        <v>20251103</v>
      </c>
      <c r="J19">
        <v>19</v>
      </c>
      <c r="K19">
        <v>1</v>
      </c>
      <c r="L19" t="s">
        <v>152</v>
      </c>
      <c r="M19" t="s">
        <v>153</v>
      </c>
      <c r="T19" s="2">
        <v>45964.258067129631</v>
      </c>
    </row>
    <row r="20" spans="1:20" ht="409.6">
      <c r="A20" t="s">
        <v>20</v>
      </c>
      <c r="B20" t="s">
        <v>154</v>
      </c>
      <c r="C20" t="s">
        <v>155</v>
      </c>
      <c r="D20" t="s">
        <v>156</v>
      </c>
      <c r="E20" t="s">
        <v>157</v>
      </c>
      <c r="F20" t="s">
        <v>158</v>
      </c>
      <c r="G20" s="1" t="s">
        <v>159</v>
      </c>
      <c r="I20">
        <v>20251103</v>
      </c>
      <c r="J20">
        <v>2</v>
      </c>
      <c r="K20">
        <v>0</v>
      </c>
      <c r="L20" t="s">
        <v>160</v>
      </c>
      <c r="Q20" t="s">
        <v>161</v>
      </c>
      <c r="T20" s="2">
        <v>45964.258067129631</v>
      </c>
    </row>
    <row r="21" spans="1:20" ht="409.6">
      <c r="A21" t="s">
        <v>20</v>
      </c>
      <c r="B21" t="s">
        <v>162</v>
      </c>
      <c r="C21" t="s">
        <v>163</v>
      </c>
      <c r="D21" t="s">
        <v>164</v>
      </c>
      <c r="E21" t="s">
        <v>165</v>
      </c>
      <c r="F21" t="s">
        <v>166</v>
      </c>
      <c r="G21" s="1" t="s">
        <v>167</v>
      </c>
      <c r="H21" t="s">
        <v>168</v>
      </c>
      <c r="I21">
        <v>20251103</v>
      </c>
      <c r="J21">
        <v>9</v>
      </c>
      <c r="K21">
        <v>0</v>
      </c>
      <c r="L21" t="s">
        <v>169</v>
      </c>
      <c r="T21" s="2">
        <v>45964.258067129631</v>
      </c>
    </row>
    <row r="22" spans="1:20" ht="409.6">
      <c r="A22" t="s">
        <v>20</v>
      </c>
      <c r="B22" t="s">
        <v>170</v>
      </c>
      <c r="C22" t="s">
        <v>171</v>
      </c>
      <c r="D22" t="s">
        <v>133</v>
      </c>
      <c r="E22" t="s">
        <v>172</v>
      </c>
      <c r="F22" t="s">
        <v>135</v>
      </c>
      <c r="G22" s="1" t="s">
        <v>173</v>
      </c>
      <c r="I22">
        <v>20251102</v>
      </c>
      <c r="J22">
        <v>4</v>
      </c>
      <c r="K22">
        <v>0</v>
      </c>
      <c r="L22" t="s">
        <v>174</v>
      </c>
      <c r="T22" s="2">
        <v>45964.258067129631</v>
      </c>
    </row>
    <row r="23" spans="1:20" ht="409.6">
      <c r="A23" t="s">
        <v>20</v>
      </c>
      <c r="B23" t="s">
        <v>175</v>
      </c>
      <c r="C23" t="s">
        <v>176</v>
      </c>
      <c r="D23" t="s">
        <v>177</v>
      </c>
      <c r="E23" t="s">
        <v>178</v>
      </c>
      <c r="F23" t="s">
        <v>179</v>
      </c>
      <c r="G23" s="1" t="s">
        <v>180</v>
      </c>
      <c r="H23" t="s">
        <v>181</v>
      </c>
      <c r="I23">
        <v>20251102</v>
      </c>
      <c r="J23">
        <v>29</v>
      </c>
      <c r="K23">
        <v>0</v>
      </c>
      <c r="L23" t="s">
        <v>182</v>
      </c>
      <c r="Q23" t="s">
        <v>183</v>
      </c>
      <c r="T23" s="2">
        <v>45964.258067129631</v>
      </c>
    </row>
    <row r="24" spans="1:20" ht="409.6">
      <c r="A24" t="s">
        <v>20</v>
      </c>
      <c r="B24" t="s">
        <v>184</v>
      </c>
      <c r="C24" t="s">
        <v>185</v>
      </c>
      <c r="D24" t="s">
        <v>186</v>
      </c>
      <c r="E24" t="s">
        <v>187</v>
      </c>
      <c r="F24" t="s">
        <v>188</v>
      </c>
      <c r="G24" s="1" t="s">
        <v>189</v>
      </c>
      <c r="I24">
        <v>20251102</v>
      </c>
      <c r="J24">
        <v>5</v>
      </c>
      <c r="K24">
        <v>0</v>
      </c>
      <c r="L24" t="s">
        <v>190</v>
      </c>
      <c r="Q24" t="s">
        <v>191</v>
      </c>
      <c r="T24" s="2">
        <v>45964.258067129631</v>
      </c>
    </row>
    <row r="25" spans="1:20" ht="409.6">
      <c r="A25" t="s">
        <v>20</v>
      </c>
      <c r="B25" t="s">
        <v>192</v>
      </c>
      <c r="C25" t="s">
        <v>193</v>
      </c>
      <c r="D25" t="s">
        <v>194</v>
      </c>
      <c r="E25" t="s">
        <v>195</v>
      </c>
      <c r="F25" t="s">
        <v>196</v>
      </c>
      <c r="G25" s="1" t="s">
        <v>197</v>
      </c>
      <c r="H25" t="s">
        <v>198</v>
      </c>
      <c r="I25">
        <v>20251102</v>
      </c>
      <c r="J25">
        <v>18</v>
      </c>
      <c r="K25">
        <v>0</v>
      </c>
      <c r="L25" t="s">
        <v>199</v>
      </c>
      <c r="Q25" t="s">
        <v>200</v>
      </c>
      <c r="R25" t="s">
        <v>201</v>
      </c>
      <c r="S25">
        <v>8242016</v>
      </c>
      <c r="T25" s="2">
        <v>45964.258067129631</v>
      </c>
    </row>
    <row r="26" spans="1:20" ht="409.6">
      <c r="A26" t="s">
        <v>20</v>
      </c>
      <c r="B26" t="s">
        <v>202</v>
      </c>
      <c r="C26" t="s">
        <v>203</v>
      </c>
      <c r="D26" t="s">
        <v>204</v>
      </c>
      <c r="E26" t="s">
        <v>205</v>
      </c>
      <c r="F26" t="s">
        <v>206</v>
      </c>
      <c r="G26" s="1" t="s">
        <v>207</v>
      </c>
      <c r="H26" t="s">
        <v>208</v>
      </c>
      <c r="I26">
        <v>20251102</v>
      </c>
      <c r="J26">
        <v>15</v>
      </c>
      <c r="K26">
        <v>0</v>
      </c>
      <c r="L26" t="s">
        <v>209</v>
      </c>
      <c r="Q26" t="s">
        <v>210</v>
      </c>
      <c r="T26" s="2">
        <v>45964.258067129631</v>
      </c>
    </row>
    <row r="27" spans="1:20" ht="409.6">
      <c r="A27" t="s">
        <v>20</v>
      </c>
      <c r="B27" t="s">
        <v>211</v>
      </c>
      <c r="C27" t="s">
        <v>212</v>
      </c>
      <c r="D27" t="s">
        <v>213</v>
      </c>
      <c r="E27" t="s">
        <v>214</v>
      </c>
      <c r="F27" t="s">
        <v>215</v>
      </c>
      <c r="G27" s="1" t="s">
        <v>216</v>
      </c>
      <c r="H27" t="s">
        <v>217</v>
      </c>
      <c r="I27">
        <v>20251102</v>
      </c>
      <c r="J27">
        <v>8</v>
      </c>
      <c r="K27">
        <v>0</v>
      </c>
      <c r="L27" t="s">
        <v>218</v>
      </c>
      <c r="T27" s="2">
        <v>45964.258067129631</v>
      </c>
    </row>
    <row r="28" spans="1:20" ht="409.6">
      <c r="A28" t="s">
        <v>20</v>
      </c>
      <c r="B28" t="s">
        <v>219</v>
      </c>
      <c r="C28" t="s">
        <v>220</v>
      </c>
      <c r="D28" t="s">
        <v>213</v>
      </c>
      <c r="E28" t="s">
        <v>221</v>
      </c>
      <c r="F28" t="s">
        <v>215</v>
      </c>
      <c r="G28" s="1" t="s">
        <v>222</v>
      </c>
      <c r="H28" t="s">
        <v>223</v>
      </c>
      <c r="I28">
        <v>20251102</v>
      </c>
      <c r="J28">
        <v>5</v>
      </c>
      <c r="K28">
        <v>0</v>
      </c>
      <c r="L28" t="s">
        <v>224</v>
      </c>
      <c r="T28" s="2">
        <v>45964.258067129631</v>
      </c>
    </row>
    <row r="29" spans="1:20" ht="409.6">
      <c r="A29" t="s">
        <v>20</v>
      </c>
      <c r="B29" t="s">
        <v>225</v>
      </c>
      <c r="C29" t="s">
        <v>226</v>
      </c>
      <c r="D29" t="s">
        <v>227</v>
      </c>
      <c r="E29" t="s">
        <v>228</v>
      </c>
      <c r="F29" t="s">
        <v>229</v>
      </c>
      <c r="G29" s="1" t="s">
        <v>230</v>
      </c>
      <c r="I29">
        <v>20251102</v>
      </c>
      <c r="J29">
        <v>2</v>
      </c>
      <c r="K29">
        <v>0</v>
      </c>
      <c r="L29" t="s">
        <v>231</v>
      </c>
      <c r="T29" s="2">
        <v>45964.258067129631</v>
      </c>
    </row>
    <row r="30" spans="1:20" ht="409.6">
      <c r="A30" t="s">
        <v>20</v>
      </c>
      <c r="B30" t="s">
        <v>232</v>
      </c>
      <c r="C30" t="s">
        <v>233</v>
      </c>
      <c r="D30" t="s">
        <v>234</v>
      </c>
      <c r="E30" t="s">
        <v>235</v>
      </c>
      <c r="F30" t="s">
        <v>236</v>
      </c>
      <c r="G30" s="1" t="s">
        <v>237</v>
      </c>
      <c r="I30">
        <v>20251102</v>
      </c>
      <c r="J30">
        <v>0</v>
      </c>
      <c r="K30">
        <v>0</v>
      </c>
      <c r="T30" s="2">
        <v>45964.258067129631</v>
      </c>
    </row>
    <row r="31" spans="1:20" ht="409.6">
      <c r="A31" t="s">
        <v>20</v>
      </c>
      <c r="B31" t="s">
        <v>238</v>
      </c>
      <c r="C31" t="s">
        <v>239</v>
      </c>
      <c r="D31" t="s">
        <v>240</v>
      </c>
      <c r="E31" t="s">
        <v>241</v>
      </c>
      <c r="F31" t="s">
        <v>242</v>
      </c>
      <c r="G31" s="1" t="s">
        <v>243</v>
      </c>
      <c r="I31">
        <v>20251102</v>
      </c>
      <c r="J31">
        <v>13</v>
      </c>
      <c r="K31">
        <v>0</v>
      </c>
      <c r="L31" t="s">
        <v>244</v>
      </c>
      <c r="Q31" t="s">
        <v>245</v>
      </c>
      <c r="T31" s="2">
        <v>45964.258067129631</v>
      </c>
    </row>
    <row r="32" spans="1:20" ht="409.6">
      <c r="A32" t="s">
        <v>20</v>
      </c>
      <c r="B32" t="s">
        <v>246</v>
      </c>
      <c r="C32" t="s">
        <v>247</v>
      </c>
      <c r="D32" t="s">
        <v>248</v>
      </c>
      <c r="E32" t="s">
        <v>249</v>
      </c>
      <c r="F32" t="s">
        <v>250</v>
      </c>
      <c r="G32" s="1" t="s">
        <v>251</v>
      </c>
      <c r="I32">
        <v>20251102</v>
      </c>
      <c r="J32">
        <v>4</v>
      </c>
      <c r="K32">
        <v>0</v>
      </c>
      <c r="L32" t="s">
        <v>252</v>
      </c>
      <c r="Q32" t="s">
        <v>253</v>
      </c>
      <c r="T32" s="2">
        <v>45964.258067129631</v>
      </c>
    </row>
    <row r="33" spans="1:20" ht="409.6">
      <c r="A33" t="s">
        <v>20</v>
      </c>
      <c r="B33" t="s">
        <v>254</v>
      </c>
      <c r="C33" t="s">
        <v>255</v>
      </c>
      <c r="D33" t="s">
        <v>240</v>
      </c>
      <c r="E33" t="s">
        <v>256</v>
      </c>
      <c r="F33" t="s">
        <v>242</v>
      </c>
      <c r="G33" s="1" t="s">
        <v>257</v>
      </c>
      <c r="I33">
        <v>20251102</v>
      </c>
      <c r="J33">
        <v>10</v>
      </c>
      <c r="K33">
        <v>0</v>
      </c>
      <c r="L33" t="s">
        <v>258</v>
      </c>
      <c r="Q33" t="s">
        <v>259</v>
      </c>
      <c r="T33" s="2">
        <v>45964.258067129631</v>
      </c>
    </row>
    <row r="34" spans="1:20" ht="409.6">
      <c r="A34" t="s">
        <v>20</v>
      </c>
      <c r="B34" t="s">
        <v>260</v>
      </c>
      <c r="C34" t="s">
        <v>261</v>
      </c>
      <c r="D34" t="s">
        <v>240</v>
      </c>
      <c r="E34" t="s">
        <v>262</v>
      </c>
      <c r="F34" t="s">
        <v>242</v>
      </c>
      <c r="G34" s="1" t="s">
        <v>263</v>
      </c>
      <c r="I34">
        <v>20251102</v>
      </c>
      <c r="J34">
        <v>19</v>
      </c>
      <c r="K34">
        <v>0</v>
      </c>
      <c r="L34" t="s">
        <v>264</v>
      </c>
      <c r="Q34" t="s">
        <v>245</v>
      </c>
      <c r="T34" s="2">
        <v>45964.258067129631</v>
      </c>
    </row>
    <row r="35" spans="1:20" ht="409.6">
      <c r="A35" t="s">
        <v>20</v>
      </c>
      <c r="B35" t="s">
        <v>265</v>
      </c>
      <c r="C35" t="s">
        <v>266</v>
      </c>
      <c r="D35" t="s">
        <v>267</v>
      </c>
      <c r="E35" t="s">
        <v>268</v>
      </c>
      <c r="F35" t="s">
        <v>269</v>
      </c>
      <c r="G35" s="1" t="s">
        <v>270</v>
      </c>
      <c r="I35">
        <v>20251103</v>
      </c>
      <c r="J35">
        <v>6</v>
      </c>
      <c r="K35">
        <v>0</v>
      </c>
      <c r="L35" t="s">
        <v>271</v>
      </c>
      <c r="T35" s="2">
        <v>45964.258067129631</v>
      </c>
    </row>
    <row r="36" spans="1:20" ht="409.6">
      <c r="A36" t="s">
        <v>20</v>
      </c>
      <c r="B36" t="s">
        <v>272</v>
      </c>
      <c r="C36" t="s">
        <v>273</v>
      </c>
      <c r="D36" t="s">
        <v>274</v>
      </c>
      <c r="E36" t="s">
        <v>275</v>
      </c>
      <c r="F36" t="s">
        <v>276</v>
      </c>
      <c r="G36" s="1" t="s">
        <v>277</v>
      </c>
      <c r="H36" t="s">
        <v>278</v>
      </c>
      <c r="I36">
        <v>20251102</v>
      </c>
      <c r="J36">
        <v>20</v>
      </c>
      <c r="K36">
        <v>0</v>
      </c>
      <c r="L36" t="s">
        <v>279</v>
      </c>
      <c r="Q36" t="s">
        <v>253</v>
      </c>
      <c r="T36" s="2">
        <v>45964.258067129631</v>
      </c>
    </row>
    <row r="37" spans="1:20" ht="409.6">
      <c r="A37" t="s">
        <v>20</v>
      </c>
      <c r="B37" t="s">
        <v>280</v>
      </c>
      <c r="C37" t="s">
        <v>281</v>
      </c>
      <c r="D37" t="s">
        <v>282</v>
      </c>
      <c r="E37" t="s">
        <v>283</v>
      </c>
      <c r="F37" t="s">
        <v>284</v>
      </c>
      <c r="G37" s="1" t="s">
        <v>285</v>
      </c>
      <c r="I37">
        <v>20251031</v>
      </c>
      <c r="J37">
        <v>5</v>
      </c>
      <c r="K37">
        <v>0</v>
      </c>
      <c r="L37" t="s">
        <v>286</v>
      </c>
      <c r="Q37" t="s">
        <v>287</v>
      </c>
      <c r="T37" s="2">
        <v>45964.258067129631</v>
      </c>
    </row>
    <row r="38" spans="1:20" ht="409.6">
      <c r="A38" t="s">
        <v>20</v>
      </c>
      <c r="B38" t="s">
        <v>288</v>
      </c>
      <c r="C38" t="s">
        <v>289</v>
      </c>
      <c r="D38" t="s">
        <v>290</v>
      </c>
      <c r="E38" t="s">
        <v>291</v>
      </c>
      <c r="F38" t="s">
        <v>292</v>
      </c>
      <c r="G38" s="1" t="s">
        <v>293</v>
      </c>
      <c r="H38" t="s">
        <v>294</v>
      </c>
      <c r="I38">
        <v>20251030</v>
      </c>
      <c r="J38">
        <v>35</v>
      </c>
      <c r="K38">
        <v>0</v>
      </c>
      <c r="L38" t="s">
        <v>295</v>
      </c>
      <c r="Q38" t="s">
        <v>287</v>
      </c>
      <c r="R38" t="s">
        <v>296</v>
      </c>
      <c r="T38" s="2">
        <v>45964.258067129631</v>
      </c>
    </row>
    <row r="39" spans="1:20" ht="409.6">
      <c r="A39" t="s">
        <v>20</v>
      </c>
      <c r="B39" t="s">
        <v>297</v>
      </c>
      <c r="C39" t="s">
        <v>298</v>
      </c>
      <c r="D39" t="s">
        <v>299</v>
      </c>
      <c r="E39" t="s">
        <v>300</v>
      </c>
      <c r="F39" t="s">
        <v>301</v>
      </c>
      <c r="G39" s="1" t="s">
        <v>302</v>
      </c>
      <c r="I39">
        <v>20251029</v>
      </c>
      <c r="J39">
        <v>3</v>
      </c>
      <c r="K39">
        <v>1</v>
      </c>
      <c r="L39" t="s">
        <v>303</v>
      </c>
      <c r="M39" t="s">
        <v>304</v>
      </c>
      <c r="T39" s="2">
        <v>45964.258067129631</v>
      </c>
    </row>
    <row r="40" spans="1:20" ht="409.6">
      <c r="A40" t="s">
        <v>20</v>
      </c>
      <c r="B40" t="s">
        <v>305</v>
      </c>
      <c r="C40" t="s">
        <v>306</v>
      </c>
      <c r="D40" t="s">
        <v>282</v>
      </c>
      <c r="E40" t="s">
        <v>307</v>
      </c>
      <c r="F40" t="s">
        <v>284</v>
      </c>
      <c r="G40" s="1" t="s">
        <v>308</v>
      </c>
      <c r="I40">
        <v>20251029</v>
      </c>
      <c r="J40">
        <v>2</v>
      </c>
      <c r="K40">
        <v>0</v>
      </c>
      <c r="L40" t="s">
        <v>309</v>
      </c>
      <c r="Q40" t="s">
        <v>310</v>
      </c>
      <c r="T40" s="2">
        <v>45964.258067129631</v>
      </c>
    </row>
    <row r="41" spans="1:20" ht="409.6">
      <c r="A41" t="s">
        <v>20</v>
      </c>
      <c r="B41" t="s">
        <v>311</v>
      </c>
      <c r="C41" t="s">
        <v>312</v>
      </c>
      <c r="D41" t="s">
        <v>313</v>
      </c>
      <c r="E41" t="s">
        <v>314</v>
      </c>
      <c r="F41" t="s">
        <v>315</v>
      </c>
      <c r="G41" s="1" t="s">
        <v>316</v>
      </c>
      <c r="I41">
        <v>20251029</v>
      </c>
      <c r="J41">
        <v>15</v>
      </c>
      <c r="K41">
        <v>0</v>
      </c>
      <c r="L41" t="s">
        <v>317</v>
      </c>
      <c r="Q41" t="s">
        <v>318</v>
      </c>
      <c r="T41" s="2">
        <v>45964.258067129631</v>
      </c>
    </row>
    <row r="42" spans="1:20" ht="409.6">
      <c r="A42" t="s">
        <v>20</v>
      </c>
      <c r="B42" t="s">
        <v>319</v>
      </c>
      <c r="C42" t="s">
        <v>320</v>
      </c>
      <c r="D42" t="s">
        <v>321</v>
      </c>
      <c r="E42" t="s">
        <v>322</v>
      </c>
      <c r="F42" t="s">
        <v>323</v>
      </c>
      <c r="G42" s="1" t="s">
        <v>324</v>
      </c>
      <c r="H42" t="s">
        <v>325</v>
      </c>
      <c r="I42">
        <v>20251027</v>
      </c>
      <c r="J42">
        <v>59</v>
      </c>
      <c r="K42">
        <v>0</v>
      </c>
      <c r="L42" t="s">
        <v>326</v>
      </c>
      <c r="T42" s="2">
        <v>45964.258067129631</v>
      </c>
    </row>
    <row r="43" spans="1:20" ht="409.6">
      <c r="A43" t="s">
        <v>20</v>
      </c>
      <c r="B43" t="s">
        <v>327</v>
      </c>
      <c r="C43" t="s">
        <v>328</v>
      </c>
      <c r="D43" t="s">
        <v>329</v>
      </c>
      <c r="E43" t="s">
        <v>330</v>
      </c>
      <c r="F43" t="s">
        <v>331</v>
      </c>
      <c r="G43" s="1" t="s">
        <v>332</v>
      </c>
      <c r="I43">
        <v>20251026</v>
      </c>
      <c r="J43">
        <v>14</v>
      </c>
      <c r="K43">
        <v>0</v>
      </c>
      <c r="L43" t="s">
        <v>333</v>
      </c>
      <c r="Q43" t="s">
        <v>334</v>
      </c>
      <c r="T43" s="2">
        <v>45964.258067129631</v>
      </c>
    </row>
    <row r="44" spans="1:20" ht="409.6">
      <c r="A44" t="s">
        <v>20</v>
      </c>
      <c r="B44" t="s">
        <v>335</v>
      </c>
      <c r="C44" t="s">
        <v>336</v>
      </c>
      <c r="D44" t="s">
        <v>337</v>
      </c>
      <c r="E44" t="s">
        <v>338</v>
      </c>
      <c r="F44" t="s">
        <v>339</v>
      </c>
      <c r="G44" s="1" t="s">
        <v>340</v>
      </c>
      <c r="I44">
        <v>20251102</v>
      </c>
      <c r="J44">
        <v>9</v>
      </c>
      <c r="K44">
        <v>0</v>
      </c>
      <c r="L44" t="s">
        <v>341</v>
      </c>
      <c r="Q44" t="s">
        <v>61</v>
      </c>
      <c r="T44" s="2">
        <v>45964.258067129631</v>
      </c>
    </row>
    <row r="45" spans="1:20" ht="409.6">
      <c r="A45" t="s">
        <v>20</v>
      </c>
      <c r="B45" t="s">
        <v>342</v>
      </c>
      <c r="C45" t="s">
        <v>343</v>
      </c>
      <c r="D45" t="s">
        <v>344</v>
      </c>
      <c r="E45" t="s">
        <v>345</v>
      </c>
      <c r="F45" t="s">
        <v>346</v>
      </c>
      <c r="G45" s="1" t="s">
        <v>347</v>
      </c>
      <c r="H45" t="s">
        <v>348</v>
      </c>
      <c r="I45">
        <v>20251101</v>
      </c>
      <c r="J45">
        <v>68</v>
      </c>
      <c r="K45">
        <v>0</v>
      </c>
      <c r="L45" t="s">
        <v>349</v>
      </c>
      <c r="T45" s="2">
        <v>45964.258067129631</v>
      </c>
    </row>
    <row r="46" spans="1:20" ht="409.6">
      <c r="A46" t="s">
        <v>20</v>
      </c>
      <c r="B46" t="s">
        <v>350</v>
      </c>
      <c r="C46" t="s">
        <v>351</v>
      </c>
      <c r="D46" t="s">
        <v>352</v>
      </c>
      <c r="E46" t="s">
        <v>353</v>
      </c>
      <c r="F46" t="s">
        <v>354</v>
      </c>
      <c r="G46" s="1" t="s">
        <v>355</v>
      </c>
      <c r="I46">
        <v>20251101</v>
      </c>
      <c r="J46">
        <v>9</v>
      </c>
      <c r="K46">
        <v>2</v>
      </c>
      <c r="L46" t="s">
        <v>356</v>
      </c>
      <c r="M46" t="s">
        <v>357</v>
      </c>
      <c r="Q46" t="s">
        <v>61</v>
      </c>
      <c r="T46" s="2">
        <v>45964.258067129631</v>
      </c>
    </row>
    <row r="47" spans="1:20" ht="409.6">
      <c r="A47" t="s">
        <v>20</v>
      </c>
      <c r="B47" t="s">
        <v>358</v>
      </c>
      <c r="C47" t="s">
        <v>359</v>
      </c>
      <c r="D47" t="s">
        <v>360</v>
      </c>
      <c r="E47" t="s">
        <v>361</v>
      </c>
      <c r="F47" t="s">
        <v>362</v>
      </c>
      <c r="G47" s="1" t="s">
        <v>363</v>
      </c>
      <c r="I47">
        <v>20251101</v>
      </c>
      <c r="J47">
        <v>18</v>
      </c>
      <c r="K47">
        <v>0</v>
      </c>
      <c r="L47" t="s">
        <v>364</v>
      </c>
      <c r="T47" s="2">
        <v>45964.258067129631</v>
      </c>
    </row>
    <row r="48" spans="1:20" ht="409.6">
      <c r="A48" t="s">
        <v>20</v>
      </c>
      <c r="B48" t="s">
        <v>365</v>
      </c>
      <c r="C48" t="s">
        <v>366</v>
      </c>
      <c r="D48" t="s">
        <v>367</v>
      </c>
      <c r="E48" t="s">
        <v>368</v>
      </c>
      <c r="F48" t="s">
        <v>369</v>
      </c>
      <c r="G48" s="1" t="s">
        <v>370</v>
      </c>
      <c r="H48" t="s">
        <v>371</v>
      </c>
      <c r="I48">
        <v>20251031</v>
      </c>
      <c r="J48">
        <v>66</v>
      </c>
      <c r="K48">
        <v>0</v>
      </c>
      <c r="L48" t="s">
        <v>372</v>
      </c>
      <c r="Q48" t="s">
        <v>373</v>
      </c>
      <c r="T48" s="2">
        <v>45964.258067129631</v>
      </c>
    </row>
    <row r="49" spans="1:20" ht="409.6">
      <c r="A49" t="s">
        <v>20</v>
      </c>
      <c r="B49" t="s">
        <v>374</v>
      </c>
      <c r="C49" t="s">
        <v>375</v>
      </c>
      <c r="D49" t="s">
        <v>376</v>
      </c>
      <c r="E49" t="s">
        <v>377</v>
      </c>
      <c r="F49" t="s">
        <v>378</v>
      </c>
      <c r="G49" s="1" t="s">
        <v>379</v>
      </c>
      <c r="I49">
        <v>20251031</v>
      </c>
      <c r="J49">
        <v>10</v>
      </c>
      <c r="K49">
        <v>0</v>
      </c>
      <c r="L49" t="s">
        <v>380</v>
      </c>
      <c r="Q49" t="s">
        <v>381</v>
      </c>
      <c r="T49" s="2">
        <v>45964.258067129631</v>
      </c>
    </row>
    <row r="50" spans="1:20" ht="409.6">
      <c r="A50" t="s">
        <v>20</v>
      </c>
      <c r="B50" t="s">
        <v>382</v>
      </c>
      <c r="C50" t="s">
        <v>383</v>
      </c>
      <c r="D50" t="s">
        <v>384</v>
      </c>
      <c r="E50" t="s">
        <v>385</v>
      </c>
      <c r="F50" t="s">
        <v>386</v>
      </c>
      <c r="G50" s="1" t="s">
        <v>387</v>
      </c>
      <c r="I50">
        <v>20251031</v>
      </c>
      <c r="J50">
        <v>19</v>
      </c>
      <c r="K50">
        <v>2</v>
      </c>
      <c r="L50" t="s">
        <v>388</v>
      </c>
      <c r="M50" t="s">
        <v>389</v>
      </c>
      <c r="T50" s="2">
        <v>45964.258067129631</v>
      </c>
    </row>
    <row r="51" spans="1:20" ht="409.6">
      <c r="A51" t="s">
        <v>20</v>
      </c>
      <c r="B51" t="s">
        <v>390</v>
      </c>
      <c r="C51" t="s">
        <v>391</v>
      </c>
      <c r="D51" t="s">
        <v>392</v>
      </c>
      <c r="E51" t="s">
        <v>393</v>
      </c>
      <c r="F51" t="s">
        <v>394</v>
      </c>
      <c r="G51" s="1" t="s">
        <v>395</v>
      </c>
      <c r="I51">
        <v>20251030</v>
      </c>
      <c r="J51">
        <v>5</v>
      </c>
      <c r="K51">
        <v>0</v>
      </c>
      <c r="L51" t="s">
        <v>396</v>
      </c>
      <c r="Q51" t="s">
        <v>397</v>
      </c>
      <c r="R51" t="s">
        <v>201</v>
      </c>
      <c r="S51">
        <v>8242016</v>
      </c>
      <c r="T51" s="2">
        <v>45964.258067129631</v>
      </c>
    </row>
    <row r="52" spans="1:20" ht="409.6">
      <c r="A52" t="s">
        <v>20</v>
      </c>
      <c r="B52" t="s">
        <v>398</v>
      </c>
      <c r="C52" t="s">
        <v>399</v>
      </c>
      <c r="D52" t="s">
        <v>400</v>
      </c>
      <c r="E52" t="s">
        <v>401</v>
      </c>
      <c r="F52" t="s">
        <v>402</v>
      </c>
      <c r="G52" s="1" t="s">
        <v>403</v>
      </c>
      <c r="H52" t="s">
        <v>404</v>
      </c>
      <c r="I52">
        <v>20251101</v>
      </c>
      <c r="J52">
        <v>12</v>
      </c>
      <c r="K52">
        <v>9</v>
      </c>
      <c r="L52" t="s">
        <v>405</v>
      </c>
      <c r="M52" t="s">
        <v>406</v>
      </c>
      <c r="T52" s="2">
        <v>45964.258067129631</v>
      </c>
    </row>
    <row r="53" spans="1:20" ht="409.6">
      <c r="A53" t="s">
        <v>20</v>
      </c>
      <c r="B53" t="s">
        <v>407</v>
      </c>
      <c r="C53" t="s">
        <v>408</v>
      </c>
      <c r="D53" t="s">
        <v>409</v>
      </c>
      <c r="E53" t="s">
        <v>410</v>
      </c>
      <c r="F53" t="s">
        <v>411</v>
      </c>
      <c r="G53" s="1" t="s">
        <v>412</v>
      </c>
      <c r="I53">
        <v>20251029</v>
      </c>
      <c r="J53">
        <v>1</v>
      </c>
      <c r="K53">
        <v>0</v>
      </c>
      <c r="L53" t="s">
        <v>413</v>
      </c>
      <c r="Q53" t="s">
        <v>414</v>
      </c>
      <c r="T53" s="2">
        <v>45964.258067129631</v>
      </c>
    </row>
    <row r="54" spans="1:20" ht="409.6">
      <c r="A54" t="s">
        <v>20</v>
      </c>
      <c r="B54" t="s">
        <v>415</v>
      </c>
      <c r="C54" t="s">
        <v>416</v>
      </c>
      <c r="D54" t="s">
        <v>417</v>
      </c>
      <c r="E54" t="s">
        <v>418</v>
      </c>
      <c r="F54" t="s">
        <v>419</v>
      </c>
      <c r="G54" s="1" t="s">
        <v>420</v>
      </c>
      <c r="I54">
        <v>20251027</v>
      </c>
      <c r="J54">
        <v>4</v>
      </c>
      <c r="K54">
        <v>2</v>
      </c>
      <c r="L54" t="s">
        <v>421</v>
      </c>
      <c r="M54" t="s">
        <v>422</v>
      </c>
      <c r="T54" s="2">
        <v>45964.258067129631</v>
      </c>
    </row>
    <row r="55" spans="1:20" ht="409.6">
      <c r="A55" t="s">
        <v>20</v>
      </c>
      <c r="B55" t="s">
        <v>423</v>
      </c>
      <c r="C55" t="s">
        <v>424</v>
      </c>
      <c r="D55" t="s">
        <v>425</v>
      </c>
      <c r="E55" t="s">
        <v>426</v>
      </c>
      <c r="F55" t="s">
        <v>427</v>
      </c>
      <c r="G55" s="1" t="s">
        <v>428</v>
      </c>
      <c r="I55">
        <v>20251021</v>
      </c>
      <c r="J55">
        <v>9</v>
      </c>
      <c r="K55">
        <v>1</v>
      </c>
      <c r="L55" t="s">
        <v>429</v>
      </c>
      <c r="M55" t="s">
        <v>430</v>
      </c>
      <c r="T55" s="2">
        <v>45964.258067129631</v>
      </c>
    </row>
    <row r="56" spans="1:20" ht="409.6">
      <c r="A56" t="s">
        <v>20</v>
      </c>
      <c r="B56" t="s">
        <v>431</v>
      </c>
      <c r="C56" t="s">
        <v>432</v>
      </c>
      <c r="D56" t="s">
        <v>433</v>
      </c>
      <c r="E56" t="s">
        <v>434</v>
      </c>
      <c r="F56" t="s">
        <v>435</v>
      </c>
      <c r="G56" s="1" t="s">
        <v>436</v>
      </c>
      <c r="H56" t="s">
        <v>437</v>
      </c>
      <c r="I56">
        <v>20251020</v>
      </c>
      <c r="J56">
        <v>18</v>
      </c>
      <c r="K56">
        <v>11</v>
      </c>
      <c r="L56" t="s">
        <v>438</v>
      </c>
      <c r="M56" t="s">
        <v>439</v>
      </c>
      <c r="Q56" t="s">
        <v>61</v>
      </c>
      <c r="T56" s="2">
        <v>45964.258067129631</v>
      </c>
    </row>
    <row r="57" spans="1:20" ht="409.6">
      <c r="A57" t="s">
        <v>20</v>
      </c>
      <c r="B57" t="s">
        <v>440</v>
      </c>
      <c r="C57" t="s">
        <v>441</v>
      </c>
      <c r="D57" t="s">
        <v>442</v>
      </c>
      <c r="E57" t="s">
        <v>443</v>
      </c>
      <c r="F57" t="s">
        <v>444</v>
      </c>
      <c r="G57" s="1" t="s">
        <v>445</v>
      </c>
      <c r="I57">
        <v>20251020</v>
      </c>
      <c r="J57">
        <v>39</v>
      </c>
      <c r="K57">
        <v>0</v>
      </c>
      <c r="L57" t="s">
        <v>446</v>
      </c>
      <c r="Q57" t="s">
        <v>447</v>
      </c>
      <c r="T57" s="2">
        <v>45964.258067129631</v>
      </c>
    </row>
    <row r="58" spans="1:20" ht="409.6">
      <c r="A58" t="s">
        <v>20</v>
      </c>
      <c r="B58" t="s">
        <v>448</v>
      </c>
      <c r="C58" t="s">
        <v>449</v>
      </c>
      <c r="D58" t="s">
        <v>450</v>
      </c>
      <c r="E58" t="s">
        <v>451</v>
      </c>
      <c r="F58" t="s">
        <v>452</v>
      </c>
      <c r="G58" s="1" t="s">
        <v>453</v>
      </c>
      <c r="I58">
        <v>20251016</v>
      </c>
      <c r="J58">
        <v>3</v>
      </c>
      <c r="K58">
        <v>0</v>
      </c>
      <c r="L58" t="s">
        <v>454</v>
      </c>
      <c r="T58" s="2">
        <v>45964.258067129631</v>
      </c>
    </row>
    <row r="59" spans="1:20" ht="409.6">
      <c r="A59" t="s">
        <v>20</v>
      </c>
      <c r="B59" t="s">
        <v>455</v>
      </c>
      <c r="C59" t="s">
        <v>456</v>
      </c>
      <c r="D59" t="s">
        <v>457</v>
      </c>
      <c r="E59" t="s">
        <v>458</v>
      </c>
      <c r="F59" t="s">
        <v>459</v>
      </c>
      <c r="G59" s="1" t="s">
        <v>460</v>
      </c>
      <c r="I59">
        <v>20251016</v>
      </c>
      <c r="J59">
        <v>0</v>
      </c>
      <c r="K59">
        <v>0</v>
      </c>
      <c r="T59" s="2">
        <v>45964.258067129631</v>
      </c>
    </row>
    <row r="60" spans="1:20" ht="409.6">
      <c r="A60" t="s">
        <v>20</v>
      </c>
      <c r="B60" t="s">
        <v>461</v>
      </c>
      <c r="C60" t="s">
        <v>462</v>
      </c>
      <c r="D60" t="s">
        <v>463</v>
      </c>
      <c r="E60" t="s">
        <v>464</v>
      </c>
      <c r="F60" t="s">
        <v>465</v>
      </c>
      <c r="G60" s="1" t="s">
        <v>466</v>
      </c>
      <c r="H60" t="s">
        <v>467</v>
      </c>
      <c r="I60">
        <v>20251015</v>
      </c>
      <c r="J60">
        <v>0</v>
      </c>
      <c r="K60">
        <v>0</v>
      </c>
      <c r="T60" s="2">
        <v>45964.258067129631</v>
      </c>
    </row>
    <row r="61" spans="1:20" ht="409.6">
      <c r="A61" t="s">
        <v>20</v>
      </c>
      <c r="B61" t="s">
        <v>468</v>
      </c>
      <c r="C61" t="s">
        <v>469</v>
      </c>
      <c r="D61" t="s">
        <v>470</v>
      </c>
      <c r="E61" t="s">
        <v>471</v>
      </c>
      <c r="F61" t="s">
        <v>472</v>
      </c>
      <c r="G61" s="1" t="s">
        <v>473</v>
      </c>
      <c r="H61" t="s">
        <v>474</v>
      </c>
      <c r="I61">
        <v>20251103</v>
      </c>
      <c r="J61">
        <v>86</v>
      </c>
      <c r="K61">
        <v>0</v>
      </c>
      <c r="L61" t="s">
        <v>475</v>
      </c>
      <c r="T61" s="2">
        <v>45964.258067129631</v>
      </c>
    </row>
    <row r="62" spans="1:20" ht="409.6">
      <c r="A62" t="s">
        <v>20</v>
      </c>
      <c r="B62" t="s">
        <v>476</v>
      </c>
      <c r="C62" t="s">
        <v>477</v>
      </c>
      <c r="D62" t="s">
        <v>478</v>
      </c>
      <c r="E62" t="s">
        <v>479</v>
      </c>
      <c r="F62" t="s">
        <v>480</v>
      </c>
      <c r="G62" s="1" t="s">
        <v>481</v>
      </c>
      <c r="I62">
        <v>20251103</v>
      </c>
      <c r="J62">
        <v>3</v>
      </c>
      <c r="K62">
        <v>0</v>
      </c>
      <c r="L62" t="s">
        <v>482</v>
      </c>
      <c r="T62" s="2">
        <v>45964.258067129631</v>
      </c>
    </row>
    <row r="63" spans="1:20" ht="409.6">
      <c r="A63" t="s">
        <v>20</v>
      </c>
      <c r="B63" t="s">
        <v>483</v>
      </c>
      <c r="C63" t="s">
        <v>484</v>
      </c>
      <c r="D63" t="s">
        <v>485</v>
      </c>
      <c r="E63" t="s">
        <v>486</v>
      </c>
      <c r="F63" t="s">
        <v>487</v>
      </c>
      <c r="G63" s="1" t="s">
        <v>488</v>
      </c>
      <c r="I63">
        <v>20251103</v>
      </c>
      <c r="J63">
        <v>3</v>
      </c>
      <c r="K63">
        <v>0</v>
      </c>
      <c r="L63" t="s">
        <v>489</v>
      </c>
      <c r="Q63" t="s">
        <v>253</v>
      </c>
      <c r="T63" s="2">
        <v>45964.258067129631</v>
      </c>
    </row>
    <row r="64" spans="1:20" ht="409.6">
      <c r="A64" t="s">
        <v>20</v>
      </c>
      <c r="B64" t="s">
        <v>490</v>
      </c>
      <c r="C64" t="s">
        <v>491</v>
      </c>
      <c r="D64" t="s">
        <v>492</v>
      </c>
      <c r="E64" t="s">
        <v>493</v>
      </c>
      <c r="F64" t="s">
        <v>494</v>
      </c>
      <c r="G64" s="1" t="s">
        <v>495</v>
      </c>
      <c r="I64">
        <v>20251103</v>
      </c>
      <c r="J64">
        <v>12</v>
      </c>
      <c r="K64">
        <v>0</v>
      </c>
      <c r="L64" t="s">
        <v>496</v>
      </c>
      <c r="Q64" t="s">
        <v>497</v>
      </c>
      <c r="T64" s="2">
        <v>45964.258067129631</v>
      </c>
    </row>
    <row r="65" spans="1:20" ht="409.6">
      <c r="A65" t="s">
        <v>20</v>
      </c>
      <c r="B65" t="s">
        <v>498</v>
      </c>
      <c r="C65" t="s">
        <v>499</v>
      </c>
      <c r="D65" t="s">
        <v>500</v>
      </c>
      <c r="E65" t="s">
        <v>501</v>
      </c>
      <c r="F65" t="s">
        <v>502</v>
      </c>
      <c r="G65" s="1" t="s">
        <v>503</v>
      </c>
      <c r="I65">
        <v>20251102</v>
      </c>
      <c r="J65">
        <v>12</v>
      </c>
      <c r="K65">
        <v>0</v>
      </c>
      <c r="L65" t="s">
        <v>504</v>
      </c>
      <c r="Q65" t="s">
        <v>505</v>
      </c>
      <c r="T65" s="2">
        <v>45964.258067129631</v>
      </c>
    </row>
    <row r="66" spans="1:20" ht="409.6">
      <c r="A66" t="s">
        <v>20</v>
      </c>
      <c r="B66" t="s">
        <v>506</v>
      </c>
      <c r="C66" t="s">
        <v>507</v>
      </c>
      <c r="D66" t="s">
        <v>508</v>
      </c>
      <c r="E66" t="s">
        <v>509</v>
      </c>
      <c r="F66" t="s">
        <v>510</v>
      </c>
      <c r="G66" s="1" t="s">
        <v>511</v>
      </c>
      <c r="I66">
        <v>20251102</v>
      </c>
      <c r="J66">
        <v>12</v>
      </c>
      <c r="K66">
        <v>0</v>
      </c>
      <c r="L66" t="s">
        <v>512</v>
      </c>
      <c r="Q66" t="s">
        <v>287</v>
      </c>
      <c r="T66" s="2">
        <v>45964.258067129631</v>
      </c>
    </row>
    <row r="67" spans="1:20" ht="409.6">
      <c r="A67" t="s">
        <v>20</v>
      </c>
      <c r="B67" t="s">
        <v>513</v>
      </c>
      <c r="C67" t="s">
        <v>514</v>
      </c>
      <c r="D67" t="s">
        <v>500</v>
      </c>
      <c r="E67" t="s">
        <v>515</v>
      </c>
      <c r="F67" t="s">
        <v>502</v>
      </c>
      <c r="G67" s="1" t="s">
        <v>516</v>
      </c>
      <c r="I67">
        <v>20251102</v>
      </c>
      <c r="J67">
        <v>12</v>
      </c>
      <c r="K67">
        <v>0</v>
      </c>
      <c r="L67" t="s">
        <v>517</v>
      </c>
      <c r="Q67" t="s">
        <v>287</v>
      </c>
      <c r="T67" s="2">
        <v>45964.258067129631</v>
      </c>
    </row>
    <row r="68" spans="1:20" ht="409.6">
      <c r="A68" t="s">
        <v>20</v>
      </c>
      <c r="B68" t="s">
        <v>518</v>
      </c>
      <c r="C68" t="s">
        <v>519</v>
      </c>
      <c r="D68" t="s">
        <v>520</v>
      </c>
      <c r="E68" t="s">
        <v>521</v>
      </c>
      <c r="F68" t="s">
        <v>522</v>
      </c>
      <c r="G68" s="1" t="s">
        <v>523</v>
      </c>
      <c r="I68">
        <v>20251102</v>
      </c>
      <c r="J68">
        <v>17</v>
      </c>
      <c r="K68">
        <v>0</v>
      </c>
      <c r="L68" t="s">
        <v>524</v>
      </c>
      <c r="Q68" t="s">
        <v>525</v>
      </c>
      <c r="T68" s="2">
        <v>45964.258067129631</v>
      </c>
    </row>
    <row r="69" spans="1:20" ht="409.6">
      <c r="A69" t="s">
        <v>20</v>
      </c>
      <c r="B69" t="s">
        <v>526</v>
      </c>
      <c r="C69" t="s">
        <v>527</v>
      </c>
      <c r="D69" t="s">
        <v>528</v>
      </c>
      <c r="E69" t="s">
        <v>529</v>
      </c>
      <c r="F69" t="s">
        <v>530</v>
      </c>
      <c r="G69" s="1" t="s">
        <v>531</v>
      </c>
      <c r="I69">
        <v>20251102</v>
      </c>
      <c r="J69">
        <v>12</v>
      </c>
      <c r="K69">
        <v>0</v>
      </c>
      <c r="L69" t="s">
        <v>532</v>
      </c>
      <c r="Q69" t="s">
        <v>287</v>
      </c>
      <c r="T69" s="2">
        <v>45964.258067129631</v>
      </c>
    </row>
    <row r="70" spans="1:20" ht="409.6">
      <c r="A70" t="s">
        <v>20</v>
      </c>
      <c r="B70" t="s">
        <v>533</v>
      </c>
      <c r="C70" t="s">
        <v>534</v>
      </c>
      <c r="D70" t="s">
        <v>535</v>
      </c>
      <c r="E70" t="s">
        <v>536</v>
      </c>
      <c r="F70" t="s">
        <v>537</v>
      </c>
      <c r="G70" s="1" t="s">
        <v>538</v>
      </c>
      <c r="H70" t="s">
        <v>539</v>
      </c>
      <c r="I70">
        <v>20251103</v>
      </c>
      <c r="J70">
        <v>5</v>
      </c>
      <c r="K70">
        <v>0</v>
      </c>
      <c r="L70" t="s">
        <v>540</v>
      </c>
      <c r="T70" s="2">
        <v>45964.258067129631</v>
      </c>
    </row>
    <row r="71" spans="1:20" ht="409.6">
      <c r="A71" t="s">
        <v>20</v>
      </c>
      <c r="B71" t="s">
        <v>541</v>
      </c>
      <c r="C71" t="s">
        <v>542</v>
      </c>
      <c r="D71" t="s">
        <v>543</v>
      </c>
      <c r="E71" t="s">
        <v>544</v>
      </c>
      <c r="F71" t="s">
        <v>545</v>
      </c>
      <c r="G71" s="1" t="s">
        <v>546</v>
      </c>
      <c r="I71">
        <v>20251103</v>
      </c>
      <c r="J71">
        <v>15</v>
      </c>
      <c r="K71">
        <v>0</v>
      </c>
      <c r="L71" t="s">
        <v>547</v>
      </c>
      <c r="T71" s="2">
        <v>45964.258067129631</v>
      </c>
    </row>
    <row r="72" spans="1:20" ht="409.6">
      <c r="A72" t="s">
        <v>20</v>
      </c>
      <c r="B72" t="s">
        <v>548</v>
      </c>
      <c r="C72" t="s">
        <v>549</v>
      </c>
      <c r="D72" t="s">
        <v>550</v>
      </c>
      <c r="E72" t="s">
        <v>551</v>
      </c>
      <c r="F72" t="s">
        <v>552</v>
      </c>
      <c r="G72" s="1" t="s">
        <v>553</v>
      </c>
      <c r="H72" t="s">
        <v>554</v>
      </c>
      <c r="I72">
        <v>20251102</v>
      </c>
      <c r="J72">
        <v>1</v>
      </c>
      <c r="K72">
        <v>0</v>
      </c>
      <c r="L72" t="s">
        <v>555</v>
      </c>
      <c r="Q72" t="s">
        <v>556</v>
      </c>
      <c r="T72" s="2">
        <v>45964.258067129631</v>
      </c>
    </row>
    <row r="73" spans="1:20" ht="409.6">
      <c r="A73" t="s">
        <v>20</v>
      </c>
      <c r="B73" t="s">
        <v>557</v>
      </c>
      <c r="C73" t="s">
        <v>558</v>
      </c>
      <c r="D73" t="s">
        <v>559</v>
      </c>
      <c r="E73" t="s">
        <v>560</v>
      </c>
      <c r="F73" t="s">
        <v>561</v>
      </c>
      <c r="G73" s="1" t="s">
        <v>562</v>
      </c>
      <c r="H73" t="s">
        <v>563</v>
      </c>
      <c r="I73">
        <v>20251102</v>
      </c>
      <c r="J73">
        <v>9</v>
      </c>
      <c r="K73">
        <v>0</v>
      </c>
      <c r="L73" t="s">
        <v>564</v>
      </c>
      <c r="T73" s="2">
        <v>45964.258067129631</v>
      </c>
    </row>
    <row r="74" spans="1:20" ht="409.6">
      <c r="A74" t="s">
        <v>20</v>
      </c>
      <c r="B74" t="s">
        <v>565</v>
      </c>
      <c r="C74" t="s">
        <v>566</v>
      </c>
      <c r="D74" t="s">
        <v>567</v>
      </c>
      <c r="E74" t="s">
        <v>568</v>
      </c>
      <c r="F74" t="s">
        <v>569</v>
      </c>
      <c r="G74" s="1" t="s">
        <v>570</v>
      </c>
      <c r="I74">
        <v>20251102</v>
      </c>
      <c r="J74">
        <v>8</v>
      </c>
      <c r="K74">
        <v>0</v>
      </c>
      <c r="L74" t="s">
        <v>571</v>
      </c>
      <c r="Q74" t="s">
        <v>572</v>
      </c>
      <c r="T74" s="2">
        <v>45964.258067129631</v>
      </c>
    </row>
    <row r="75" spans="1:20" ht="409.6">
      <c r="A75" t="s">
        <v>20</v>
      </c>
      <c r="B75" t="s">
        <v>573</v>
      </c>
      <c r="C75" t="s">
        <v>574</v>
      </c>
      <c r="D75" t="s">
        <v>575</v>
      </c>
      <c r="E75" t="s">
        <v>576</v>
      </c>
      <c r="F75" t="s">
        <v>577</v>
      </c>
      <c r="G75" s="1" t="s">
        <v>578</v>
      </c>
      <c r="I75">
        <v>20251102</v>
      </c>
      <c r="J75">
        <v>9</v>
      </c>
      <c r="K75">
        <v>0</v>
      </c>
      <c r="L75" t="s">
        <v>579</v>
      </c>
      <c r="T75" s="2">
        <v>45964.258067129631</v>
      </c>
    </row>
    <row r="76" spans="1:20" ht="409.6">
      <c r="A76" t="s">
        <v>20</v>
      </c>
      <c r="B76" t="s">
        <v>580</v>
      </c>
      <c r="C76" t="s">
        <v>581</v>
      </c>
      <c r="D76" t="s">
        <v>582</v>
      </c>
      <c r="E76" t="s">
        <v>583</v>
      </c>
      <c r="F76" t="s">
        <v>584</v>
      </c>
      <c r="G76" s="1" t="s">
        <v>585</v>
      </c>
      <c r="I76">
        <v>20251102</v>
      </c>
      <c r="J76">
        <v>2</v>
      </c>
      <c r="K76">
        <v>0</v>
      </c>
      <c r="L76" t="s">
        <v>586</v>
      </c>
      <c r="T76" s="2">
        <v>45964.258067129631</v>
      </c>
    </row>
    <row r="77" spans="1:20" ht="409.6">
      <c r="A77" t="s">
        <v>20</v>
      </c>
      <c r="B77" t="s">
        <v>587</v>
      </c>
      <c r="C77" t="s">
        <v>588</v>
      </c>
      <c r="D77" t="s">
        <v>589</v>
      </c>
      <c r="E77" t="s">
        <v>590</v>
      </c>
      <c r="F77" t="s">
        <v>591</v>
      </c>
      <c r="G77" s="1" t="s">
        <v>592</v>
      </c>
      <c r="H77" t="s">
        <v>593</v>
      </c>
      <c r="I77">
        <v>20251102</v>
      </c>
      <c r="J77">
        <v>11</v>
      </c>
      <c r="K77">
        <v>0</v>
      </c>
      <c r="L77" t="s">
        <v>594</v>
      </c>
      <c r="T77" s="2">
        <v>45964.258067129631</v>
      </c>
    </row>
    <row r="78" spans="1:20" ht="409.6">
      <c r="A78" t="s">
        <v>20</v>
      </c>
      <c r="B78" t="s">
        <v>595</v>
      </c>
      <c r="C78" t="s">
        <v>596</v>
      </c>
      <c r="D78" t="s">
        <v>597</v>
      </c>
      <c r="E78" t="s">
        <v>598</v>
      </c>
      <c r="F78" t="s">
        <v>599</v>
      </c>
      <c r="G78" s="1" t="s">
        <v>600</v>
      </c>
      <c r="H78" t="s">
        <v>601</v>
      </c>
      <c r="I78">
        <v>20251102</v>
      </c>
      <c r="J78">
        <v>38</v>
      </c>
      <c r="K78">
        <v>0</v>
      </c>
      <c r="L78" t="s">
        <v>602</v>
      </c>
      <c r="R78" t="s">
        <v>603</v>
      </c>
      <c r="T78" s="2">
        <v>45964.258067129631</v>
      </c>
    </row>
    <row r="79" spans="1:20" ht="409.6">
      <c r="A79" t="s">
        <v>20</v>
      </c>
      <c r="B79" t="s">
        <v>604</v>
      </c>
      <c r="C79" t="s">
        <v>605</v>
      </c>
      <c r="D79" t="s">
        <v>606</v>
      </c>
      <c r="E79" t="s">
        <v>607</v>
      </c>
      <c r="F79" t="s">
        <v>608</v>
      </c>
      <c r="G79" s="1" t="s">
        <v>609</v>
      </c>
    </row>
    <row r="80" spans="1:20">
      <c r="A80" t="s">
        <v>610</v>
      </c>
    </row>
    <row r="81" spans="1:6">
      <c r="A81" t="s">
        <v>611</v>
      </c>
    </row>
    <row r="82" spans="1:6">
      <c r="A82" t="s">
        <v>612</v>
      </c>
    </row>
    <row r="83" spans="1:6">
      <c r="A83" t="s">
        <v>613</v>
      </c>
      <c r="B83" t="s">
        <v>614</v>
      </c>
    </row>
    <row r="84" spans="1:6">
      <c r="A84" t="s">
        <v>615</v>
      </c>
    </row>
    <row r="85" spans="1:6">
      <c r="A85" t="s">
        <v>616</v>
      </c>
    </row>
    <row r="86" spans="1:6">
      <c r="A86" t="s">
        <v>617</v>
      </c>
    </row>
    <row r="87" spans="1:6">
      <c r="A87" t="s">
        <v>618</v>
      </c>
    </row>
    <row r="88" spans="1:6">
      <c r="A88" t="s">
        <v>619</v>
      </c>
      <c r="B88" t="s">
        <v>620</v>
      </c>
    </row>
    <row r="89" spans="1:6">
      <c r="A89" t="s">
        <v>621</v>
      </c>
    </row>
    <row r="90" spans="1:6">
      <c r="A90" t="e">
        <f>- 한편 원/달러 환율은 한미 관세협상 불확실성이 지속되고 있고</f>
        <v>#NAME?</v>
      </c>
      <c r="B90" t="s">
        <v>622</v>
      </c>
      <c r="C90" t="s">
        <v>623</v>
      </c>
      <c r="D90" t="s">
        <v>624</v>
      </c>
      <c r="E90" t="s">
        <v>625</v>
      </c>
      <c r="F90" t="s">
        <v>626</v>
      </c>
    </row>
    <row r="91" spans="1:6">
      <c r="A91" t="s">
        <v>627</v>
      </c>
    </row>
    <row r="92" spans="1:6">
      <c r="A92" t="s">
        <v>628</v>
      </c>
    </row>
    <row r="93" spans="1:6">
      <c r="A93" t="e">
        <f>- 다만 한은이 금융안정에 포커스를 두고는 있지만 미국이 기준금리 인하 추세를 빠르게 이어나갈 경우 마냥 동결 기조로 계속 가기도 부담이 있는 상황. 한미 관세 협상 결과와 반도체 업황 여부</f>
        <v>#NAME?</v>
      </c>
      <c r="B93" t="s">
        <v>629</v>
      </c>
    </row>
    <row r="94" spans="1:6">
      <c r="A94" t="s">
        <v>630</v>
      </c>
    </row>
    <row r="95" spans="1:6">
      <c r="A95" t="s">
        <v>631</v>
      </c>
    </row>
    <row r="96" spans="1:6">
      <c r="A96" t="s">
        <v>632</v>
      </c>
    </row>
    <row r="97" spans="1:3">
      <c r="A97" t="s">
        <v>633</v>
      </c>
    </row>
    <row r="98" spans="1:3">
      <c r="A98" t="s">
        <v>634</v>
      </c>
      <c r="B98" t="s">
        <v>635</v>
      </c>
    </row>
    <row r="99" spans="1:3">
      <c r="A99" t="e">
        <f>- 단기적으로는 원/달러 환율 하향안정화 여부 및 배당소득 분리과세 세율 인하 결정</f>
        <v>#NAME?</v>
      </c>
      <c r="B99" t="s">
        <v>636</v>
      </c>
    </row>
    <row r="100" spans="1:3">
      <c r="A100" t="s">
        <v>637</v>
      </c>
      <c r="B100" t="s">
        <v>638</v>
      </c>
      <c r="C100" t="s">
        <v>639</v>
      </c>
    </row>
    <row r="101" spans="1:3">
      <c r="A101" t="s">
        <v>640</v>
      </c>
    </row>
    <row r="102" spans="1:3">
      <c r="A102" t="s">
        <v>641</v>
      </c>
    </row>
    <row r="103" spans="1:3">
      <c r="A103" t="s">
        <v>642</v>
      </c>
    </row>
    <row r="104" spans="1:3">
      <c r="A104" t="s">
        <v>643</v>
      </c>
    </row>
    <row r="105" spans="1:3">
      <c r="A105" t="e">
        <f>- 국내 철강 유통가격: 성수기 불구</f>
        <v>#NAME?</v>
      </c>
      <c r="B105" t="s">
        <v>644</v>
      </c>
      <c r="C105" t="s">
        <v>645</v>
      </c>
    </row>
    <row r="106" spans="1:3">
      <c r="A106" t="s">
        <v>646</v>
      </c>
    </row>
    <row r="107" spans="1:3">
      <c r="A107" t="e">
        <f>- 산업용 금속가격: 미달러 강세 불구</f>
        <v>#NAME?</v>
      </c>
      <c r="B107" t="s">
        <v>647</v>
      </c>
    </row>
    <row r="108" spans="1:3">
      <c r="A108" t="s">
        <v>648</v>
      </c>
    </row>
    <row r="109" spans="1:3">
      <c r="A109" t="e">
        <f>- 총평: 중국 정부의 경기 부양책 기대감으로 전반적으로 상승 마감</f>
        <v>#NAME?</v>
      </c>
    </row>
    <row r="110" spans="1:3">
      <c r="A110" t="s">
        <v>649</v>
      </c>
    </row>
    <row r="111" spans="1:3">
      <c r="A111" t="s">
        <v>650</v>
      </c>
      <c r="B111" t="s">
        <v>651</v>
      </c>
      <c r="C111" t="s">
        <v>652</v>
      </c>
    </row>
    <row r="112" spans="1:3">
      <c r="A112" t="s">
        <v>653</v>
      </c>
    </row>
    <row r="113" spans="1:6">
      <c r="A113" t="s">
        <v>654</v>
      </c>
    </row>
    <row r="114" spans="1:6">
      <c r="A114" t="s">
        <v>655</v>
      </c>
    </row>
    <row r="115" spans="1:6">
      <c r="A115" t="s">
        <v>656</v>
      </c>
    </row>
    <row r="116" spans="1:6">
      <c r="A116" t="s">
        <v>657</v>
      </c>
    </row>
    <row r="117" spans="1:6">
      <c r="A117" t="s">
        <v>658</v>
      </c>
    </row>
    <row r="118" spans="1:6">
      <c r="A118" t="s">
        <v>659</v>
      </c>
      <c r="B118" t="s">
        <v>660</v>
      </c>
      <c r="C118" t="s">
        <v>661</v>
      </c>
      <c r="D118" t="s">
        <v>662</v>
      </c>
      <c r="E118" t="s">
        <v>663</v>
      </c>
      <c r="F118" t="s">
        <v>664</v>
      </c>
    </row>
    <row r="119" spans="1:6">
      <c r="A119" t="s">
        <v>665</v>
      </c>
      <c r="B119" t="s">
        <v>666</v>
      </c>
    </row>
    <row r="120" spans="1:6">
      <c r="A120" t="s">
        <v>667</v>
      </c>
      <c r="B120" t="s">
        <v>668</v>
      </c>
    </row>
    <row r="121" spans="1:6">
      <c r="A121" t="s">
        <v>669</v>
      </c>
    </row>
    <row r="122" spans="1:6">
      <c r="A122" t="s">
        <v>670</v>
      </c>
    </row>
    <row r="123" spans="1:6">
      <c r="A123" t="s">
        <v>671</v>
      </c>
      <c r="B123" t="s">
        <v>672</v>
      </c>
    </row>
    <row r="124" spans="1:6">
      <c r="A124" t="s">
        <v>673</v>
      </c>
    </row>
    <row r="125" spans="1:6">
      <c r="A125" t="s">
        <v>674</v>
      </c>
      <c r="B125" t="s">
        <v>675</v>
      </c>
    </row>
    <row r="126" spans="1:6">
      <c r="A126" t="s">
        <v>676</v>
      </c>
    </row>
    <row r="127" spans="1:6">
      <c r="A127" t="e">
        <f>- 원재료 가격 상승으로 철강사들 판재류 가격 인상 의지 높지만 부진한 내수로 후판과 열연 제외 기타 제품 가격 인상 녹록치 않을 전망</f>
        <v>#NAME?</v>
      </c>
    </row>
    <row r="128" spans="1:6">
      <c r="A128" t="s">
        <v>677</v>
      </c>
    </row>
    <row r="129" spans="1:4">
      <c r="A129" t="s">
        <v>678</v>
      </c>
      <c r="B129" t="s">
        <v>679</v>
      </c>
    </row>
    <row r="130" spans="1:4">
      <c r="A130" t="s">
        <v>680</v>
      </c>
      <c r="B130" t="s">
        <v>681</v>
      </c>
      <c r="C130" t="s">
        <v>682</v>
      </c>
    </row>
    <row r="131" spans="1:4">
      <c r="A131" t="s">
        <v>683</v>
      </c>
      <c r="B131" t="s">
        <v>684</v>
      </c>
    </row>
    <row r="132" spans="1:4">
      <c r="A132" t="s">
        <v>685</v>
      </c>
      <c r="B132" t="s">
        <v>686</v>
      </c>
    </row>
    <row r="133" spans="1:4">
      <c r="A133" t="e">
        <f>- 최근 중국 공신부에서 발표한 새로운 철강 생산설비 치환 정책 초안과 더불어 연말 혹은 연초에 예상되는 철강산업 구조조정안기대감도 여전히 유효</f>
        <v>#NAME?</v>
      </c>
    </row>
    <row r="134" spans="1:4">
      <c r="A134" t="s">
        <v>687</v>
      </c>
      <c r="B134" t="s">
        <v>688</v>
      </c>
    </row>
    <row r="135" spans="1:4">
      <c r="A135" t="s">
        <v>653</v>
      </c>
    </row>
    <row r="136" spans="1:4">
      <c r="A136" t="s">
        <v>654</v>
      </c>
    </row>
    <row r="137" spans="1:4">
      <c r="A137" t="s">
        <v>655</v>
      </c>
    </row>
    <row r="138" spans="1:4">
      <c r="A138" t="s">
        <v>689</v>
      </c>
    </row>
    <row r="139" spans="1:4">
      <c r="A139" t="s">
        <v>690</v>
      </c>
    </row>
    <row r="140" spans="1:4">
      <c r="A140" t="s">
        <v>691</v>
      </c>
    </row>
    <row r="141" spans="1:4">
      <c r="A141" t="s">
        <v>692</v>
      </c>
      <c r="B141" t="s">
        <v>693</v>
      </c>
      <c r="C141" t="s">
        <v>694</v>
      </c>
    </row>
    <row r="142" spans="1:4">
      <c r="A142" t="s">
        <v>695</v>
      </c>
      <c r="B142" t="s">
        <v>693</v>
      </c>
      <c r="C142" t="s">
        <v>696</v>
      </c>
      <c r="D142" t="s">
        <v>697</v>
      </c>
    </row>
    <row r="143" spans="1:4">
      <c r="A143" t="s">
        <v>698</v>
      </c>
      <c r="B143" t="s">
        <v>699</v>
      </c>
    </row>
    <row r="144" spans="1:4">
      <c r="A144" t="s">
        <v>700</v>
      </c>
      <c r="B144" t="s">
        <v>701</v>
      </c>
    </row>
    <row r="145" spans="1:4">
      <c r="A145" t="s">
        <v>702</v>
      </c>
    </row>
    <row r="146" spans="1:4">
      <c r="A146" t="s">
        <v>703</v>
      </c>
      <c r="B146" t="s">
        <v>704</v>
      </c>
    </row>
    <row r="147" spans="1:4">
      <c r="A147" t="s">
        <v>705</v>
      </c>
    </row>
    <row r="148" spans="1:4">
      <c r="A148" t="s">
        <v>706</v>
      </c>
    </row>
    <row r="149" spans="1:4">
      <c r="A149" t="s">
        <v>707</v>
      </c>
    </row>
    <row r="150" spans="1:4">
      <c r="A150" t="s">
        <v>708</v>
      </c>
    </row>
    <row r="151" spans="1:4">
      <c r="A151" t="s">
        <v>709</v>
      </c>
      <c r="B151" t="s">
        <v>710</v>
      </c>
      <c r="C151" t="s">
        <v>711</v>
      </c>
      <c r="D151" t="s">
        <v>712</v>
      </c>
    </row>
    <row r="152" spans="1:4">
      <c r="A152" t="s">
        <v>713</v>
      </c>
    </row>
    <row r="153" spans="1:4">
      <c r="A153" t="s">
        <v>714</v>
      </c>
    </row>
    <row r="154" spans="1:4">
      <c r="A154" t="s">
        <v>715</v>
      </c>
    </row>
    <row r="155" spans="1:4">
      <c r="A155" t="s">
        <v>716</v>
      </c>
      <c r="B155" t="s">
        <v>717</v>
      </c>
    </row>
    <row r="156" spans="1:4">
      <c r="A156" t="s">
        <v>718</v>
      </c>
      <c r="B156" t="s">
        <v>719</v>
      </c>
      <c r="C156" t="s">
        <v>720</v>
      </c>
    </row>
    <row r="157" spans="1:4">
      <c r="A157" t="s">
        <v>721</v>
      </c>
      <c r="B157" t="s">
        <v>722</v>
      </c>
    </row>
    <row r="158" spans="1:4">
      <c r="A158" t="s">
        <v>723</v>
      </c>
    </row>
    <row r="159" spans="1:4">
      <c r="A159" t="s">
        <v>724</v>
      </c>
      <c r="B159" t="s">
        <v>725</v>
      </c>
    </row>
    <row r="160" spans="1:4">
      <c r="A160" t="s">
        <v>726</v>
      </c>
    </row>
    <row r="161" spans="1:5">
      <c r="A161" t="s">
        <v>727</v>
      </c>
    </row>
    <row r="162" spans="1:5">
      <c r="A162" t="s">
        <v>728</v>
      </c>
      <c r="B162" t="s">
        <v>729</v>
      </c>
    </row>
    <row r="163" spans="1:5">
      <c r="A163" t="s">
        <v>730</v>
      </c>
    </row>
    <row r="164" spans="1:5">
      <c r="A164" t="s">
        <v>731</v>
      </c>
    </row>
    <row r="165" spans="1:5">
      <c r="A165" t="s">
        <v>732</v>
      </c>
      <c r="B165" t="s">
        <v>733</v>
      </c>
    </row>
    <row r="166" spans="1:5">
      <c r="A166" t="s">
        <v>734</v>
      </c>
    </row>
    <row r="167" spans="1:5">
      <c r="A167" t="e">
        <f>- 소형 발사체는 중대형 대비 궤도 접근성 높고 발사 대기시간 짧아 수요 명확</f>
        <v>#NAME?</v>
      </c>
    </row>
    <row r="168" spans="1:5">
      <c r="A168" t="s">
        <v>735</v>
      </c>
    </row>
    <row r="169" spans="1:5">
      <c r="A169" t="s">
        <v>736</v>
      </c>
      <c r="B169" t="s">
        <v>737</v>
      </c>
      <c r="C169" t="s">
        <v>738</v>
      </c>
    </row>
    <row r="170" spans="1:5">
      <c r="A170" t="s">
        <v>739</v>
      </c>
      <c r="B170" t="s">
        <v>740</v>
      </c>
      <c r="C170" t="s">
        <v>741</v>
      </c>
    </row>
    <row r="171" spans="1:5">
      <c r="A171" t="s">
        <v>742</v>
      </c>
      <c r="B171" t="s">
        <v>743</v>
      </c>
      <c r="C171" t="s">
        <v>744</v>
      </c>
      <c r="D171" t="s">
        <v>745</v>
      </c>
      <c r="E171" t="s">
        <v>746</v>
      </c>
    </row>
    <row r="172" spans="1:5">
      <c r="A172" t="e">
        <f>- 팰컨1과 추력</f>
        <v>#NAME?</v>
      </c>
      <c r="B172" t="s">
        <v>747</v>
      </c>
    </row>
    <row r="173" spans="1:5">
      <c r="A173" t="s">
        <v>748</v>
      </c>
    </row>
    <row r="174" spans="1:5">
      <c r="A174" t="s">
        <v>749</v>
      </c>
      <c r="B174" t="s">
        <v>750</v>
      </c>
    </row>
    <row r="175" spans="1:5">
      <c r="A175" t="s">
        <v>751</v>
      </c>
    </row>
    <row r="176" spans="1:5">
      <c r="A176" t="s">
        <v>752</v>
      </c>
    </row>
    <row r="177" spans="1:3">
      <c r="A177" t="s">
        <v>753</v>
      </c>
    </row>
    <row r="178" spans="1:3">
      <c r="A178" t="s">
        <v>754</v>
      </c>
    </row>
    <row r="179" spans="1:3">
      <c r="A179" t="s">
        <v>755</v>
      </c>
      <c r="B179" t="s">
        <v>756</v>
      </c>
    </row>
    <row r="180" spans="1:3">
      <c r="A180" t="s">
        <v>757</v>
      </c>
    </row>
    <row r="181" spans="1:3">
      <c r="A181" t="s">
        <v>758</v>
      </c>
      <c r="B181" t="s">
        <v>759</v>
      </c>
    </row>
    <row r="182" spans="1:3">
      <c r="A182" t="s">
        <v>760</v>
      </c>
    </row>
    <row r="183" spans="1:3">
      <c r="A183" t="s">
        <v>761</v>
      </c>
      <c r="B183" t="s">
        <v>762</v>
      </c>
    </row>
    <row r="184" spans="1:3">
      <c r="A184" t="s">
        <v>763</v>
      </c>
      <c r="B184" t="s">
        <v>764</v>
      </c>
    </row>
    <row r="185" spans="1:3">
      <c r="A185" t="s">
        <v>765</v>
      </c>
    </row>
    <row r="186" spans="1:3">
      <c r="A186" t="s">
        <v>766</v>
      </c>
      <c r="B186" t="s">
        <v>767</v>
      </c>
    </row>
    <row r="187" spans="1:3">
      <c r="A187" t="s">
        <v>768</v>
      </c>
      <c r="B187" t="s">
        <v>769</v>
      </c>
    </row>
    <row r="188" spans="1:3">
      <c r="A188" t="s">
        <v>770</v>
      </c>
      <c r="B188" t="s">
        <v>771</v>
      </c>
    </row>
    <row r="189" spans="1:3">
      <c r="A189" t="s">
        <v>689</v>
      </c>
    </row>
    <row r="190" spans="1:3">
      <c r="A190" t="s">
        <v>772</v>
      </c>
    </row>
    <row r="191" spans="1:3">
      <c r="A191" t="s">
        <v>773</v>
      </c>
    </row>
    <row r="192" spans="1:3">
      <c r="A192" t="s">
        <v>774</v>
      </c>
      <c r="B192" t="s">
        <v>775</v>
      </c>
      <c r="C192" t="s">
        <v>694</v>
      </c>
    </row>
    <row r="193" spans="1:4">
      <c r="A193" t="s">
        <v>776</v>
      </c>
      <c r="B193" t="s">
        <v>777</v>
      </c>
      <c r="C193" t="s">
        <v>778</v>
      </c>
    </row>
    <row r="194" spans="1:4">
      <c r="A194" t="s">
        <v>779</v>
      </c>
      <c r="B194" t="s">
        <v>780</v>
      </c>
    </row>
    <row r="195" spans="1:4">
      <c r="A195" t="s">
        <v>781</v>
      </c>
      <c r="B195" t="s">
        <v>782</v>
      </c>
    </row>
    <row r="196" spans="1:4">
      <c r="A196" t="s">
        <v>783</v>
      </c>
    </row>
    <row r="197" spans="1:4">
      <c r="A197" t="s">
        <v>784</v>
      </c>
      <c r="B197" t="s">
        <v>785</v>
      </c>
      <c r="C197" t="s">
        <v>786</v>
      </c>
      <c r="D197" t="s">
        <v>787</v>
      </c>
    </row>
    <row r="198" spans="1:4">
      <c r="A198" t="s">
        <v>705</v>
      </c>
    </row>
    <row r="199" spans="1:4">
      <c r="A199" t="s">
        <v>706</v>
      </c>
    </row>
    <row r="200" spans="1:4">
      <c r="A200" t="s">
        <v>788</v>
      </c>
    </row>
    <row r="201" spans="1:4">
      <c r="A201" t="s">
        <v>789</v>
      </c>
      <c r="B201" t="s">
        <v>790</v>
      </c>
    </row>
    <row r="202" spans="1:4">
      <c r="A202" t="s">
        <v>791</v>
      </c>
      <c r="B202" t="s">
        <v>792</v>
      </c>
    </row>
    <row r="203" spans="1:4">
      <c r="A203" t="s">
        <v>793</v>
      </c>
    </row>
    <row r="204" spans="1:4">
      <c r="A204" t="s">
        <v>794</v>
      </c>
    </row>
    <row r="205" spans="1:4">
      <c r="A205" t="s">
        <v>795</v>
      </c>
      <c r="B205" t="s">
        <v>796</v>
      </c>
    </row>
    <row r="206" spans="1:4">
      <c r="A206" t="s">
        <v>797</v>
      </c>
      <c r="B206" t="s">
        <v>798</v>
      </c>
      <c r="C206" t="s">
        <v>799</v>
      </c>
    </row>
    <row r="207" spans="1:4">
      <c r="A207" t="s">
        <v>800</v>
      </c>
      <c r="B207" t="s">
        <v>801</v>
      </c>
    </row>
    <row r="208" spans="1:4">
      <c r="A208" t="s">
        <v>802</v>
      </c>
      <c r="B208" t="s">
        <v>803</v>
      </c>
    </row>
    <row r="209" spans="1:3">
      <c r="A209" t="s">
        <v>804</v>
      </c>
    </row>
    <row r="210" spans="1:3">
      <c r="A210" t="s">
        <v>805</v>
      </c>
    </row>
    <row r="211" spans="1:3">
      <c r="A211" t="s">
        <v>806</v>
      </c>
      <c r="B211" t="s">
        <v>807</v>
      </c>
    </row>
    <row r="212" spans="1:3">
      <c r="A212" t="s">
        <v>808</v>
      </c>
      <c r="B212" t="s">
        <v>809</v>
      </c>
    </row>
    <row r="213" spans="1:3">
      <c r="A213" t="s">
        <v>810</v>
      </c>
    </row>
    <row r="214" spans="1:3">
      <c r="A214" t="s">
        <v>811</v>
      </c>
    </row>
    <row r="215" spans="1:3">
      <c r="A215" t="s">
        <v>812</v>
      </c>
    </row>
    <row r="216" spans="1:3">
      <c r="A216" t="s">
        <v>813</v>
      </c>
    </row>
    <row r="217" spans="1:3">
      <c r="A217" t="s">
        <v>814</v>
      </c>
    </row>
    <row r="218" spans="1:3">
      <c r="A218" t="s">
        <v>815</v>
      </c>
    </row>
    <row r="219" spans="1:3">
      <c r="A219" t="e">
        <f>- AI 사용자 수는 꾸준히 증가하는 가운데</f>
        <v>#NAME?</v>
      </c>
      <c r="B219" t="s">
        <v>816</v>
      </c>
    </row>
    <row r="220" spans="1:3">
      <c r="A220" t="s">
        <v>817</v>
      </c>
    </row>
    <row r="221" spans="1:3">
      <c r="A221" t="e">
        <f>- AI로 기존 사업 효율성이 제고되고</f>
        <v>#NAME?</v>
      </c>
      <c r="B221" t="s">
        <v>818</v>
      </c>
    </row>
    <row r="222" spans="1:3">
      <c r="A222" t="s">
        <v>819</v>
      </c>
    </row>
    <row r="223" spans="1:3">
      <c r="A223" t="s">
        <v>820</v>
      </c>
      <c r="B223" t="s">
        <v>821</v>
      </c>
    </row>
    <row r="224" spans="1:3">
      <c r="A224" t="e">
        <f>- 이수페타시스를 제외한 대부분의 중소형 국내 기판 기업은 지금껏 AI 인프라 사이클의 수혜를 누리지 못함. 제품 Mix가 스마트폰 관련 BGA</f>
        <v>#NAME?</v>
      </c>
      <c r="B224" t="s">
        <v>822</v>
      </c>
      <c r="C224" t="s">
        <v>823</v>
      </c>
    </row>
    <row r="225" spans="1:8">
      <c r="A225" t="e">
        <f>- 이유는 크게 두 가지: 첫째</f>
        <v>#NAME?</v>
      </c>
      <c r="B225" t="s">
        <v>824</v>
      </c>
      <c r="C225" t="s">
        <v>825</v>
      </c>
      <c r="D225" t="s">
        <v>826</v>
      </c>
      <c r="E225" t="s">
        <v>827</v>
      </c>
      <c r="F225" t="s">
        <v>828</v>
      </c>
      <c r="G225" t="s">
        <v>829</v>
      </c>
      <c r="H225" t="s">
        <v>830</v>
      </c>
    </row>
    <row r="226" spans="1:8">
      <c r="A226" t="s">
        <v>831</v>
      </c>
    </row>
    <row r="227" spans="1:8">
      <c r="A227" t="e">
        <f>- 심텍</f>
        <v>#NAME?</v>
      </c>
      <c r="B227" t="s">
        <v>832</v>
      </c>
      <c r="C227" t="s">
        <v>833</v>
      </c>
      <c r="D227" t="s">
        <v>834</v>
      </c>
      <c r="E227" s="3">
        <v>4.1909999999999998</v>
      </c>
      <c r="F227" s="3">
        <v>2.41</v>
      </c>
      <c r="G227" t="s">
        <v>835</v>
      </c>
    </row>
    <row r="228" spans="1:8">
      <c r="A228" t="s">
        <v>836</v>
      </c>
      <c r="B228" t="s">
        <v>837</v>
      </c>
      <c r="C228" t="s">
        <v>838</v>
      </c>
    </row>
    <row r="229" spans="1:8">
      <c r="A229" t="e">
        <f>- AI 성능 고도화가 회로 패턴 고밀도화</f>
        <v>#NAME?</v>
      </c>
      <c r="B229" t="s">
        <v>839</v>
      </c>
      <c r="C229" t="s">
        <v>840</v>
      </c>
    </row>
    <row r="230" spans="1:8">
      <c r="A230" t="e">
        <f>- 이를 종합적으로 고려할 때</f>
        <v>#NAME?</v>
      </c>
      <c r="B230" t="s">
        <v>841</v>
      </c>
      <c r="C230" t="s">
        <v>842</v>
      </c>
      <c r="D230" t="s">
        <v>832</v>
      </c>
      <c r="E230" t="s">
        <v>843</v>
      </c>
    </row>
    <row r="231" spans="1:8">
      <c r="A231" t="s">
        <v>844</v>
      </c>
    </row>
    <row r="232" spans="1:8">
      <c r="A232" t="s">
        <v>845</v>
      </c>
    </row>
    <row r="233" spans="1:8">
      <c r="A233" t="s">
        <v>846</v>
      </c>
    </row>
    <row r="234" spans="1:8">
      <c r="A234" t="s">
        <v>847</v>
      </c>
      <c r="B234" t="s">
        <v>848</v>
      </c>
    </row>
    <row r="235" spans="1:8">
      <c r="A235" t="s">
        <v>849</v>
      </c>
      <c r="B235" t="s">
        <v>850</v>
      </c>
      <c r="C235" t="s">
        <v>851</v>
      </c>
      <c r="D235" t="s">
        <v>852</v>
      </c>
      <c r="E235" t="s">
        <v>853</v>
      </c>
    </row>
    <row r="236" spans="1:8">
      <c r="A236" t="s">
        <v>854</v>
      </c>
    </row>
    <row r="237" spans="1:8">
      <c r="A237" t="s">
        <v>855</v>
      </c>
    </row>
    <row r="238" spans="1:8">
      <c r="A238" t="s">
        <v>856</v>
      </c>
    </row>
    <row r="239" spans="1:8">
      <c r="A239" t="s">
        <v>857</v>
      </c>
      <c r="B239" t="s">
        <v>858</v>
      </c>
    </row>
    <row r="240" spans="1:8">
      <c r="A240" t="s">
        <v>859</v>
      </c>
      <c r="B240" t="s">
        <v>860</v>
      </c>
    </row>
    <row r="241" spans="1:5">
      <c r="A241" t="s">
        <v>861</v>
      </c>
    </row>
    <row r="242" spans="1:5">
      <c r="A242" t="s">
        <v>862</v>
      </c>
      <c r="B242" t="s">
        <v>863</v>
      </c>
    </row>
    <row r="243" spans="1:5">
      <c r="A243" t="s">
        <v>864</v>
      </c>
      <c r="B243" t="s">
        <v>865</v>
      </c>
    </row>
    <row r="244" spans="1:5">
      <c r="A244" t="s">
        <v>866</v>
      </c>
    </row>
    <row r="245" spans="1:5">
      <c r="A245" t="s">
        <v>867</v>
      </c>
      <c r="B245" t="s">
        <v>868</v>
      </c>
    </row>
    <row r="246" spans="1:5">
      <c r="A246" t="s">
        <v>869</v>
      </c>
    </row>
    <row r="247" spans="1:5">
      <c r="A247" t="s">
        <v>870</v>
      </c>
    </row>
    <row r="248" spans="1:5">
      <c r="A248" t="s">
        <v>871</v>
      </c>
    </row>
    <row r="249" spans="1:5">
      <c r="A249" t="s">
        <v>872</v>
      </c>
      <c r="B249" t="s">
        <v>873</v>
      </c>
      <c r="C249" t="s">
        <v>874</v>
      </c>
      <c r="D249" t="s">
        <v>875</v>
      </c>
      <c r="E249" t="s">
        <v>876</v>
      </c>
    </row>
    <row r="250" spans="1:5">
      <c r="A250" t="s">
        <v>877</v>
      </c>
    </row>
    <row r="251" spans="1:5">
      <c r="A251" t="e">
        <f>- 물론</f>
        <v>#NAME?</v>
      </c>
      <c r="B251" t="s">
        <v>878</v>
      </c>
    </row>
    <row r="252" spans="1:5">
      <c r="A252" t="s">
        <v>879</v>
      </c>
      <c r="B252" t="s">
        <v>880</v>
      </c>
      <c r="C252" t="s">
        <v>881</v>
      </c>
    </row>
    <row r="253" spans="1:5">
      <c r="A253" t="e">
        <f>- 가장 수혜 확고한 LG에너지솔루션의 경우</f>
        <v>#NAME?</v>
      </c>
      <c r="B253" t="s">
        <v>882</v>
      </c>
      <c r="C253" t="s">
        <v>883</v>
      </c>
      <c r="D253" t="s">
        <v>884</v>
      </c>
    </row>
    <row r="254" spans="1:5">
      <c r="A254" t="s">
        <v>885</v>
      </c>
      <c r="B254" t="s">
        <v>886</v>
      </c>
    </row>
    <row r="255" spans="1:5">
      <c r="A255" t="s">
        <v>887</v>
      </c>
      <c r="B255" t="s">
        <v>888</v>
      </c>
    </row>
    <row r="256" spans="1:5">
      <c r="A256" t="e">
        <f>- Modo Energy에 따르면</f>
        <v>#NAME?</v>
      </c>
      <c r="B256" t="s">
        <v>889</v>
      </c>
    </row>
    <row r="257" spans="1:6">
      <c r="A257" t="s">
        <v>890</v>
      </c>
    </row>
    <row r="258" spans="1:6">
      <c r="A258" t="s">
        <v>891</v>
      </c>
    </row>
    <row r="259" spans="1:6">
      <c r="A259" t="e">
        <f ca="1">- GS그룹의 기업주도형 벤처캐피털(CVC) GS퓨처스는 미국 가정용 배터리 제조업체 Pila Energy에 시드 펀딩 라운드를 통해 투자했다.</f>
        <v>#NAME?</v>
      </c>
    </row>
    <row r="260" spans="1:6">
      <c r="A260" t="s">
        <v>892</v>
      </c>
      <c r="B260" t="s">
        <v>893</v>
      </c>
    </row>
    <row r="261" spans="1:6">
      <c r="A261" t="s">
        <v>894</v>
      </c>
      <c r="B261" t="s">
        <v>895</v>
      </c>
      <c r="C261" t="s">
        <v>896</v>
      </c>
      <c r="D261" t="s">
        <v>897</v>
      </c>
      <c r="E261" t="s">
        <v>898</v>
      </c>
    </row>
    <row r="262" spans="1:6">
      <c r="A262" t="s">
        <v>899</v>
      </c>
      <c r="B262" t="s">
        <v>900</v>
      </c>
      <c r="C262" t="s">
        <v>901</v>
      </c>
      <c r="D262" t="s">
        <v>902</v>
      </c>
      <c r="E262" t="s">
        <v>903</v>
      </c>
      <c r="F262" t="s">
        <v>904</v>
      </c>
    </row>
    <row r="263" spans="1:6">
      <c r="A263" t="s">
        <v>905</v>
      </c>
      <c r="B263" t="s">
        <v>906</v>
      </c>
    </row>
    <row r="264" spans="1:6">
      <c r="A264" t="s">
        <v>907</v>
      </c>
      <c r="B264" t="s">
        <v>908</v>
      </c>
      <c r="C264" t="s">
        <v>909</v>
      </c>
    </row>
    <row r="265" spans="1:6">
      <c r="A265" t="s">
        <v>910</v>
      </c>
      <c r="B265" t="s">
        <v>911</v>
      </c>
      <c r="C265" t="s">
        <v>912</v>
      </c>
      <c r="D265" t="s">
        <v>913</v>
      </c>
    </row>
    <row r="266" spans="1:6">
      <c r="A266" t="s">
        <v>914</v>
      </c>
    </row>
    <row r="267" spans="1:6">
      <c r="A267" t="s">
        <v>915</v>
      </c>
      <c r="B267" t="s">
        <v>916</v>
      </c>
    </row>
    <row r="268" spans="1:6">
      <c r="A268" t="s">
        <v>917</v>
      </c>
      <c r="B268" t="s">
        <v>918</v>
      </c>
    </row>
    <row r="269" spans="1:6">
      <c r="A269" t="s">
        <v>919</v>
      </c>
      <c r="B269" t="s">
        <v>920</v>
      </c>
      <c r="C269" t="s">
        <v>921</v>
      </c>
      <c r="D269" t="s">
        <v>922</v>
      </c>
      <c r="E269" t="s">
        <v>923</v>
      </c>
      <c r="F269" t="s">
        <v>924</v>
      </c>
    </row>
    <row r="270" spans="1:6">
      <c r="A270" t="s">
        <v>925</v>
      </c>
    </row>
    <row r="271" spans="1:6">
      <c r="A271" t="s">
        <v>926</v>
      </c>
    </row>
    <row r="272" spans="1:6">
      <c r="A272" t="s">
        <v>927</v>
      </c>
    </row>
    <row r="273" spans="1:14">
      <c r="A273" t="s">
        <v>928</v>
      </c>
      <c r="B273" t="s">
        <v>929</v>
      </c>
    </row>
    <row r="274" spans="1:14">
      <c r="A274" t="s">
        <v>930</v>
      </c>
    </row>
    <row r="275" spans="1:14">
      <c r="A275" t="s">
        <v>931</v>
      </c>
      <c r="B275" t="s">
        <v>932</v>
      </c>
      <c r="C275" t="s">
        <v>933</v>
      </c>
      <c r="D275" t="s">
        <v>934</v>
      </c>
      <c r="E275" t="s">
        <v>935</v>
      </c>
    </row>
    <row r="276" spans="1:14">
      <c r="A276" t="e">
        <f>- 미국과 호주는 핵심 광물 및 희토류 공급망 강화를 위한 협력 프레임워크에 공동 서명했다.</f>
        <v>#NAME?</v>
      </c>
    </row>
    <row r="277" spans="1:14">
      <c r="A277" t="s">
        <v>936</v>
      </c>
    </row>
    <row r="278" spans="1:14">
      <c r="A278" t="e">
        <f ca="1">- 광물별 전주 대비 가격 증감률은 리튬(5.7%)</f>
        <v>#NAME?</v>
      </c>
      <c r="B278" t="s">
        <v>937</v>
      </c>
      <c r="C278" t="s">
        <v>938</v>
      </c>
      <c r="D278" t="s">
        <v>939</v>
      </c>
      <c r="E278" t="s">
        <v>940</v>
      </c>
      <c r="F278" t="s">
        <v>941</v>
      </c>
      <c r="G278" t="s">
        <v>942</v>
      </c>
      <c r="H278" t="s">
        <v>943</v>
      </c>
      <c r="I278" t="s">
        <v>944</v>
      </c>
      <c r="J278" t="s">
        <v>945</v>
      </c>
      <c r="K278" t="s">
        <v>946</v>
      </c>
      <c r="L278" t="s">
        <v>947</v>
      </c>
      <c r="M278" t="s">
        <v>948</v>
      </c>
      <c r="N278" t="s">
        <v>949</v>
      </c>
    </row>
    <row r="279" spans="1:14">
      <c r="A279" t="s">
        <v>950</v>
      </c>
      <c r="B279" t="s">
        <v>951</v>
      </c>
      <c r="C279" t="s">
        <v>952</v>
      </c>
    </row>
    <row r="280" spans="1:14">
      <c r="A280" t="s">
        <v>953</v>
      </c>
    </row>
    <row r="281" spans="1:14">
      <c r="A281" t="s">
        <v>954</v>
      </c>
      <c r="B281" t="s">
        <v>868</v>
      </c>
    </row>
    <row r="282" spans="1:14">
      <c r="A282" t="s">
        <v>955</v>
      </c>
    </row>
    <row r="283" spans="1:14">
      <c r="A283" t="s">
        <v>956</v>
      </c>
    </row>
    <row r="284" spans="1:14">
      <c r="A284" t="s">
        <v>957</v>
      </c>
    </row>
    <row r="285" spans="1:14">
      <c r="A285" t="s">
        <v>958</v>
      </c>
      <c r="B285" t="s">
        <v>959</v>
      </c>
      <c r="C285" t="s">
        <v>960</v>
      </c>
      <c r="D285" t="s">
        <v>961</v>
      </c>
      <c r="E285" s="4">
        <v>7.75</v>
      </c>
      <c r="F285" t="s">
        <v>962</v>
      </c>
      <c r="G285" s="4">
        <v>5.21</v>
      </c>
      <c r="H285" t="s">
        <v>963</v>
      </c>
      <c r="I285" t="s">
        <v>964</v>
      </c>
      <c r="J285" s="4">
        <v>6.05</v>
      </c>
      <c r="K285" t="s">
        <v>965</v>
      </c>
    </row>
    <row r="286" spans="1:14">
      <c r="A286" t="s">
        <v>966</v>
      </c>
      <c r="B286" t="s">
        <v>967</v>
      </c>
      <c r="C286" t="s">
        <v>968</v>
      </c>
    </row>
    <row r="287" spans="1:14">
      <c r="A287" t="s">
        <v>969</v>
      </c>
      <c r="B287" t="s">
        <v>970</v>
      </c>
      <c r="C287" t="s">
        <v>971</v>
      </c>
    </row>
    <row r="288" spans="1:14">
      <c r="A288" t="s">
        <v>972</v>
      </c>
    </row>
    <row r="289" spans="1:6">
      <c r="A289" t="s">
        <v>973</v>
      </c>
      <c r="B289" t="s">
        <v>974</v>
      </c>
      <c r="C289" t="s">
        <v>975</v>
      </c>
      <c r="D289" t="s">
        <v>976</v>
      </c>
      <c r="E289" t="s">
        <v>977</v>
      </c>
      <c r="F289" t="s">
        <v>978</v>
      </c>
    </row>
    <row r="290" spans="1:6">
      <c r="A290" t="e">
        <f>- 다만</f>
        <v>#NAME?</v>
      </c>
      <c r="B290" t="s">
        <v>979</v>
      </c>
    </row>
    <row r="291" spans="1:6">
      <c r="A291" t="s">
        <v>980</v>
      </c>
    </row>
    <row r="292" spans="1:6">
      <c r="A292" t="s">
        <v>981</v>
      </c>
    </row>
    <row r="293" spans="1:6">
      <c r="A293" t="s">
        <v>982</v>
      </c>
      <c r="B293" t="s">
        <v>983</v>
      </c>
    </row>
    <row r="294" spans="1:6">
      <c r="A294" t="s">
        <v>984</v>
      </c>
      <c r="B294" t="s">
        <v>985</v>
      </c>
      <c r="C294" t="s">
        <v>986</v>
      </c>
    </row>
    <row r="295" spans="1:6">
      <c r="A295" t="s">
        <v>987</v>
      </c>
      <c r="B295" t="s">
        <v>988</v>
      </c>
      <c r="C295" t="s">
        <v>989</v>
      </c>
    </row>
    <row r="296" spans="1:6">
      <c r="A296" t="e">
        <f>- 비어있는 배터리 수급 논리로 주가는 추가 상승할 수 있겠으나</f>
        <v>#NAME?</v>
      </c>
      <c r="B296" t="s">
        <v>990</v>
      </c>
    </row>
    <row r="297" spans="1:6">
      <c r="A297" t="s">
        <v>991</v>
      </c>
    </row>
    <row r="298" spans="1:6">
      <c r="A298" t="s">
        <v>992</v>
      </c>
    </row>
    <row r="299" spans="1:6">
      <c r="A299" t="s">
        <v>993</v>
      </c>
      <c r="B299" t="s">
        <v>994</v>
      </c>
      <c r="C299" t="s">
        <v>775</v>
      </c>
    </row>
    <row r="300" spans="1:6">
      <c r="A300" t="s">
        <v>995</v>
      </c>
    </row>
    <row r="301" spans="1:6">
      <c r="A301" t="s">
        <v>996</v>
      </c>
      <c r="B301" t="s">
        <v>997</v>
      </c>
      <c r="C301" t="s">
        <v>998</v>
      </c>
    </row>
    <row r="302" spans="1:6">
      <c r="A302" t="e">
        <f>- 그러나 최근 메모리 업사이클 기대감과 함께 Peer 업체들의 주가가 빠르게 상승하며</f>
        <v>#NAME?</v>
      </c>
      <c r="B302" t="s">
        <v>999</v>
      </c>
    </row>
    <row r="303" spans="1:6">
      <c r="A303" t="e">
        <f>- 다만 당사는 동사 역시 리드프레임 ASP 인상과 DDR5 매출 확대 등 본업의 개선 요인이 가시화되고 있어</f>
        <v>#NAME?</v>
      </c>
      <c r="B303" t="s">
        <v>1000</v>
      </c>
    </row>
    <row r="304" spans="1:6">
      <c r="A304" t="s">
        <v>1001</v>
      </c>
    </row>
    <row r="305" spans="1:2">
      <c r="A305" t="s">
        <v>1002</v>
      </c>
    </row>
    <row r="306" spans="1:2">
      <c r="A306" t="e">
        <f>- 당사는 리드프레임 ASP 상승 가능성을 반영해</f>
        <v>#NAME?</v>
      </c>
      <c r="B306" t="s">
        <v>1003</v>
      </c>
    </row>
    <row r="307" spans="1:2">
      <c r="A307" t="e">
        <f>- 패키기 기판 관련 동사의 릴투릴 생산 공법은 초기 수율 확보가 어려우나</f>
        <v>#NAME?</v>
      </c>
      <c r="B307" t="s">
        <v>1004</v>
      </c>
    </row>
    <row r="308" spans="1:2">
      <c r="A308" t="e">
        <f>- 이런 가격적인 이점을 바탕으로 DDR5용 패키지 기판의 경우 동사가 고객사 내 점유율을 빠르게 확대할 것으로 예상</f>
        <v>#NAME?</v>
      </c>
    </row>
    <row r="309" spans="1:2">
      <c r="A309" t="e">
        <f>- 또한 현재 납품 중인 국내 고객사 외에도 연말 내 추가 국내 고객사</f>
        <v>#NAME?</v>
      </c>
      <c r="B309" t="s">
        <v>1005</v>
      </c>
    </row>
    <row r="310" spans="1:2">
      <c r="A310" t="s">
        <v>1006</v>
      </c>
      <c r="B310" t="s">
        <v>1007</v>
      </c>
    </row>
    <row r="311" spans="1:2">
      <c r="A311" t="e">
        <f>- 리드프레임과 DDR5 모두 업사이클 진입이 기대되는 시점임을 감안할 때</f>
        <v>#NAME?</v>
      </c>
      <c r="B311" t="s">
        <v>1008</v>
      </c>
    </row>
    <row r="312" spans="1:2">
      <c r="A312" t="s">
        <v>1009</v>
      </c>
    </row>
    <row r="313" spans="1:2">
      <c r="A313" t="s">
        <v>1010</v>
      </c>
    </row>
    <row r="314" spans="1:2">
      <c r="A314" t="s">
        <v>1011</v>
      </c>
    </row>
    <row r="315" spans="1:2">
      <c r="A315" t="s">
        <v>1012</v>
      </c>
    </row>
    <row r="316" spans="1:2">
      <c r="A316" t="s">
        <v>1013</v>
      </c>
      <c r="B316" t="s">
        <v>1014</v>
      </c>
    </row>
    <row r="317" spans="1:2">
      <c r="A317" t="s">
        <v>1015</v>
      </c>
    </row>
    <row r="318" spans="1:2">
      <c r="A318" t="s">
        <v>1016</v>
      </c>
    </row>
    <row r="319" spans="1:2">
      <c r="A319" t="e">
        <f>- 특히 G사향 신규 제품은 다중적층이 적용되지 않은 제품임에도 ASP가 큰 폭으로 상승한 것으로 파악되며</f>
        <v>#NAME?</v>
      </c>
      <c r="B319" t="s">
        <v>1017</v>
      </c>
    </row>
    <row r="320" spans="1:2">
      <c r="A320" t="e">
        <f>- 동사 주력 고객사인 G사의 TPU as a Service 확대에 따른 수혜에 주목</f>
        <v>#NAME?</v>
      </c>
    </row>
    <row r="321" spans="1:3">
      <c r="A321" t="e">
        <f>- TPU는 G사의 자체 설계 AI용 ASIC 칩으로</f>
        <v>#NAME?</v>
      </c>
      <c r="B321" t="s">
        <v>1018</v>
      </c>
    </row>
    <row r="322" spans="1:3">
      <c r="A322" t="s">
        <v>1019</v>
      </c>
      <c r="B322" t="s">
        <v>1020</v>
      </c>
    </row>
    <row r="323" spans="1:3">
      <c r="A323" t="s">
        <v>1021</v>
      </c>
      <c r="B323" t="s">
        <v>1022</v>
      </c>
    </row>
    <row r="324" spans="1:3">
      <c r="A324" t="s">
        <v>1023</v>
      </c>
      <c r="B324" t="s">
        <v>1024</v>
      </c>
    </row>
    <row r="325" spans="1:3">
      <c r="A325" t="s">
        <v>1025</v>
      </c>
      <c r="B325" t="s">
        <v>1026</v>
      </c>
      <c r="C325" t="s">
        <v>1027</v>
      </c>
    </row>
    <row r="326" spans="1:3">
      <c r="A326" t="e">
        <f>- 투자의견 Buy를 유지하며</f>
        <v>#NAME?</v>
      </c>
      <c r="B326" t="s">
        <v>1028</v>
      </c>
      <c r="C326" t="s">
        <v>1029</v>
      </c>
    </row>
    <row r="327" spans="1:3">
      <c r="A327" t="s">
        <v>1030</v>
      </c>
    </row>
    <row r="328" spans="1:3">
      <c r="A328" t="e">
        <f>- 해당 아이디어는 여전히 유효하며</f>
        <v>#NAME?</v>
      </c>
      <c r="B328" t="s">
        <v>1031</v>
      </c>
    </row>
    <row r="329" spans="1:3">
      <c r="A329" t="s">
        <v>1032</v>
      </c>
    </row>
    <row r="330" spans="1:3">
      <c r="A330" t="s">
        <v>1033</v>
      </c>
    </row>
    <row r="331" spans="1:3">
      <c r="A331" t="s">
        <v>1034</v>
      </c>
      <c r="B331" t="s">
        <v>1035</v>
      </c>
    </row>
    <row r="332" spans="1:3">
      <c r="A332" t="s">
        <v>1036</v>
      </c>
      <c r="B332" t="s">
        <v>1037</v>
      </c>
    </row>
    <row r="333" spans="1:3">
      <c r="A333" t="s">
        <v>1038</v>
      </c>
      <c r="B333" t="s">
        <v>1039</v>
      </c>
    </row>
    <row r="334" spans="1:3">
      <c r="A334" t="e">
        <f>- 또한</f>
        <v>#NAME?</v>
      </c>
      <c r="B334" t="s">
        <v>1040</v>
      </c>
      <c r="C334" t="s">
        <v>1041</v>
      </c>
    </row>
    <row r="335" spans="1:3">
      <c r="A335" t="s">
        <v>1042</v>
      </c>
    </row>
    <row r="336" spans="1:3">
      <c r="A336" t="e">
        <f>- 그러나</f>
        <v>#NAME?</v>
      </c>
      <c r="B336" t="s">
        <v>1043</v>
      </c>
    </row>
    <row r="337" spans="1:6">
      <c r="A337" t="s">
        <v>1044</v>
      </c>
    </row>
    <row r="338" spans="1:6">
      <c r="A338" t="s">
        <v>1045</v>
      </c>
      <c r="B338" t="s">
        <v>1046</v>
      </c>
    </row>
    <row r="339" spans="1:6">
      <c r="A339" t="s">
        <v>1047</v>
      </c>
      <c r="B339" t="s">
        <v>1048</v>
      </c>
      <c r="C339" t="s">
        <v>1049</v>
      </c>
    </row>
    <row r="340" spans="1:6">
      <c r="A340" t="e">
        <f>- 메탈가 상승과 귀금속 가격 상승폭 확대는 긍정적이었으나</f>
        <v>#NAME?</v>
      </c>
      <c r="B340" t="s">
        <v>1050</v>
      </c>
    </row>
    <row r="341" spans="1:6">
      <c r="A341" t="s">
        <v>1051</v>
      </c>
    </row>
    <row r="342" spans="1:6">
      <c r="A342" t="s">
        <v>1052</v>
      </c>
      <c r="B342" t="s">
        <v>1053</v>
      </c>
      <c r="C342" t="s">
        <v>1054</v>
      </c>
      <c r="D342" t="s">
        <v>1055</v>
      </c>
      <c r="E342" t="s">
        <v>1056</v>
      </c>
      <c r="F342" t="s">
        <v>1057</v>
      </c>
    </row>
    <row r="343" spans="1:6">
      <c r="A343" t="e">
        <f>- 산업금속 가격변동성 확대</f>
        <v>#NAME?</v>
      </c>
      <c r="B343" t="s">
        <v>1058</v>
      </c>
      <c r="C343" t="s">
        <v>1059</v>
      </c>
      <c r="D343" t="s">
        <v>1060</v>
      </c>
    </row>
    <row r="344" spans="1:6">
      <c r="A344" t="s">
        <v>1061</v>
      </c>
    </row>
    <row r="345" spans="1:6">
      <c r="A345" t="s">
        <v>1033</v>
      </c>
    </row>
    <row r="346" spans="1:6">
      <c r="A346" t="s">
        <v>1034</v>
      </c>
      <c r="B346" t="s">
        <v>1062</v>
      </c>
    </row>
    <row r="347" spans="1:6">
      <c r="A347" t="s">
        <v>1063</v>
      </c>
      <c r="B347" t="s">
        <v>1064</v>
      </c>
    </row>
    <row r="348" spans="1:6">
      <c r="A348" t="s">
        <v>1065</v>
      </c>
      <c r="B348" t="s">
        <v>1066</v>
      </c>
      <c r="C348" t="s">
        <v>1067</v>
      </c>
      <c r="D348" t="s">
        <v>1068</v>
      </c>
    </row>
    <row r="349" spans="1:6">
      <c r="A349" t="s">
        <v>1069</v>
      </c>
    </row>
    <row r="350" spans="1:6">
      <c r="A350" t="s">
        <v>1070</v>
      </c>
    </row>
    <row r="351" spans="1:6">
      <c r="A351" t="s">
        <v>1071</v>
      </c>
    </row>
    <row r="352" spans="1:6">
      <c r="A352" t="s">
        <v>1072</v>
      </c>
    </row>
    <row r="353" spans="1:3">
      <c r="A353" t="s">
        <v>1073</v>
      </c>
    </row>
    <row r="354" spans="1:3">
      <c r="A354" t="s">
        <v>1074</v>
      </c>
      <c r="B354" t="s">
        <v>1075</v>
      </c>
    </row>
    <row r="355" spans="1:3">
      <c r="A355" t="s">
        <v>1076</v>
      </c>
      <c r="B355" t="s">
        <v>1077</v>
      </c>
    </row>
    <row r="356" spans="1:3">
      <c r="A356" t="s">
        <v>1078</v>
      </c>
    </row>
    <row r="357" spans="1:3">
      <c r="A357" t="s">
        <v>1079</v>
      </c>
    </row>
    <row r="358" spans="1:3">
      <c r="A358" t="s">
        <v>1080</v>
      </c>
    </row>
    <row r="359" spans="1:3">
      <c r="A359" t="s">
        <v>1081</v>
      </c>
      <c r="B359" t="s">
        <v>1082</v>
      </c>
      <c r="C359" t="s">
        <v>1083</v>
      </c>
    </row>
    <row r="360" spans="1:3">
      <c r="A360" t="s">
        <v>1084</v>
      </c>
    </row>
    <row r="361" spans="1:3">
      <c r="A361" t="s">
        <v>1085</v>
      </c>
    </row>
    <row r="362" spans="1:3">
      <c r="A362" t="s">
        <v>1086</v>
      </c>
      <c r="B362" t="s">
        <v>1087</v>
      </c>
    </row>
    <row r="363" spans="1:3">
      <c r="A363" t="s">
        <v>1033</v>
      </c>
    </row>
    <row r="364" spans="1:3">
      <c r="A364" t="s">
        <v>1034</v>
      </c>
      <c r="B364" t="s">
        <v>1088</v>
      </c>
    </row>
    <row r="365" spans="1:3">
      <c r="A365" t="s">
        <v>1089</v>
      </c>
    </row>
    <row r="366" spans="1:3">
      <c r="A366" t="s">
        <v>1090</v>
      </c>
      <c r="B366" t="s">
        <v>1091</v>
      </c>
    </row>
    <row r="367" spans="1:3">
      <c r="A367" t="s">
        <v>1092</v>
      </c>
      <c r="B367" t="s">
        <v>1093</v>
      </c>
      <c r="C367" t="s">
        <v>1094</v>
      </c>
    </row>
    <row r="368" spans="1:3">
      <c r="A368" t="s">
        <v>1095</v>
      </c>
    </row>
    <row r="369" spans="1:4">
      <c r="A369" t="s">
        <v>1096</v>
      </c>
      <c r="B369" t="s">
        <v>1097</v>
      </c>
      <c r="C369" t="s">
        <v>1098</v>
      </c>
    </row>
    <row r="370" spans="1:4">
      <c r="A370" t="e">
        <f>- 판매 가격은 하락했으나</f>
        <v>#NAME?</v>
      </c>
      <c r="B370" t="s">
        <v>1099</v>
      </c>
    </row>
    <row r="371" spans="1:4">
      <c r="A371" t="s">
        <v>1100</v>
      </c>
    </row>
    <row r="372" spans="1:4">
      <c r="A372" t="s">
        <v>1101</v>
      </c>
      <c r="B372" t="s">
        <v>1102</v>
      </c>
    </row>
    <row r="373" spans="1:4">
      <c r="A373" t="e">
        <f>- 포스코퓨처엠의 양극재 판매량 증가</f>
        <v>#NAME?</v>
      </c>
      <c r="B373" t="s">
        <v>1103</v>
      </c>
    </row>
    <row r="374" spans="1:4">
      <c r="A374" t="s">
        <v>1104</v>
      </c>
    </row>
    <row r="375" spans="1:4">
      <c r="A375" t="s">
        <v>1105</v>
      </c>
      <c r="B375" t="s">
        <v>1106</v>
      </c>
      <c r="C375" t="s">
        <v>1107</v>
      </c>
    </row>
    <row r="376" spans="1:4">
      <c r="A376" t="e">
        <f>- 포스코이앤씨의 신안산선 사고 관련 비용</f>
        <v>#NAME?</v>
      </c>
      <c r="B376" t="s">
        <v>1108</v>
      </c>
      <c r="C376" t="s">
        <v>1109</v>
      </c>
    </row>
    <row r="377" spans="1:4">
      <c r="A377" t="s">
        <v>1110</v>
      </c>
      <c r="B377" t="s">
        <v>1111</v>
      </c>
      <c r="C377" t="s">
        <v>1112</v>
      </c>
      <c r="D377" t="s">
        <v>1113</v>
      </c>
    </row>
    <row r="378" spans="1:4">
      <c r="A378" t="s">
        <v>1114</v>
      </c>
    </row>
    <row r="379" spans="1:4">
      <c r="A379" t="s">
        <v>1115</v>
      </c>
      <c r="B379" t="s">
        <v>1116</v>
      </c>
    </row>
    <row r="380" spans="1:4">
      <c r="A380" t="s">
        <v>1117</v>
      </c>
      <c r="B380" t="s">
        <v>1118</v>
      </c>
    </row>
    <row r="381" spans="1:4">
      <c r="A381" t="s">
        <v>1119</v>
      </c>
    </row>
    <row r="382" spans="1:4">
      <c r="A382" t="s">
        <v>1120</v>
      </c>
      <c r="B382" t="s">
        <v>1121</v>
      </c>
    </row>
    <row r="383" spans="1:4">
      <c r="A383" t="s">
        <v>1122</v>
      </c>
    </row>
    <row r="384" spans="1:4">
      <c r="A384" t="s">
        <v>1123</v>
      </c>
    </row>
    <row r="385" spans="1:3">
      <c r="A385" t="e">
        <f>- 연말은 전통적인 비수기</f>
        <v>#NAME?</v>
      </c>
    </row>
    <row r="386" spans="1:3">
      <c r="A386" t="s">
        <v>1124</v>
      </c>
    </row>
    <row r="387" spans="1:3">
      <c r="A387" t="e">
        <f>- 유통시장 중심</f>
        <v>#NAME?</v>
      </c>
      <c r="B387" t="s">
        <v>1125</v>
      </c>
    </row>
    <row r="388" spans="1:3">
      <c r="A388" t="s">
        <v>1126</v>
      </c>
    </row>
    <row r="389" spans="1:3">
      <c r="A389" t="s">
        <v>1127</v>
      </c>
      <c r="B389" t="s">
        <v>1128</v>
      </c>
    </row>
    <row r="390" spans="1:3">
      <c r="A390" t="e">
        <f>- 올해 수요가 안좋았던 미국/유럽 수요 회복</f>
        <v>#NAME?</v>
      </c>
    </row>
    <row r="391" spans="1:3">
      <c r="A391" t="e">
        <f>- 중국은 올해에 이어 내년도 수요 감소 전망</f>
        <v>#NAME?</v>
      </c>
    </row>
    <row r="392" spans="1:3">
      <c r="A392" t="e">
        <f>- 국내</f>
        <v>#NAME?</v>
      </c>
      <c r="B392" t="s">
        <v>1129</v>
      </c>
      <c r="C392" t="s">
        <v>1130</v>
      </c>
    </row>
    <row r="393" spans="1:3">
      <c r="A393" t="s">
        <v>1131</v>
      </c>
      <c r="B393" t="s">
        <v>1132</v>
      </c>
      <c r="C393" t="s">
        <v>1133</v>
      </c>
    </row>
    <row r="394" spans="1:3">
      <c r="A394" t="s">
        <v>1134</v>
      </c>
      <c r="B394" t="s">
        <v>1135</v>
      </c>
      <c r="C394" t="s">
        <v>1136</v>
      </c>
    </row>
    <row r="395" spans="1:3">
      <c r="A395" t="e">
        <f>- 예치기준도 축소되면서 수입자부담은 우려보다 완화</f>
        <v>#NAME?</v>
      </c>
    </row>
    <row r="396" spans="1:3">
      <c r="A396" t="s">
        <v>1137</v>
      </c>
    </row>
    <row r="397" spans="1:3">
      <c r="A397" t="e">
        <f>- 인증서 가격을 결정하는 배출량 계산방식 등 이행령 미발표</f>
        <v>#NAME?</v>
      </c>
      <c r="B397" t="s">
        <v>1138</v>
      </c>
    </row>
    <row r="398" spans="1:3">
      <c r="A398" t="e">
        <f>- 현재 EU ETS 방식과 현재 확인된 방식으로 근거해서 고객과 소통 중</f>
        <v>#NAME?</v>
      </c>
    </row>
    <row r="399" spans="1:3">
      <c r="A399" t="e">
        <f>- 향후 불합리한 요인 개선하고</f>
        <v>#NAME?</v>
      </c>
      <c r="B399" t="s">
        <v>1139</v>
      </c>
    </row>
    <row r="400" spans="1:3">
      <c r="A400" t="s">
        <v>1140</v>
      </c>
      <c r="B400" t="s">
        <v>1141</v>
      </c>
    </row>
    <row r="401" spans="1:4">
      <c r="A401" t="s">
        <v>1142</v>
      </c>
      <c r="B401" t="s">
        <v>1143</v>
      </c>
    </row>
    <row r="402" spans="1:4">
      <c r="A402" t="e">
        <f>- 참여 여부 고민 중</f>
        <v>#NAME?</v>
      </c>
    </row>
    <row r="403" spans="1:4">
      <c r="A403" t="s">
        <v>1144</v>
      </c>
      <c r="B403" t="s">
        <v>1145</v>
      </c>
    </row>
    <row r="404" spans="1:4">
      <c r="A404" t="s">
        <v>1146</v>
      </c>
    </row>
    <row r="405" spans="1:4">
      <c r="A405" t="e">
        <f>- 철강 다소비국가에서 수요 감소</f>
        <v>#NAME?</v>
      </c>
      <c r="B405" t="s">
        <v>1147</v>
      </c>
    </row>
    <row r="406" spans="1:4">
      <c r="A406" t="e">
        <f>- 우리는 내수도 경쟁력 떨어지는 설비는 셧다운 해왔고</f>
        <v>#NAME?</v>
      </c>
      <c r="B406" t="s">
        <v>1148</v>
      </c>
    </row>
    <row r="407" spans="1:4">
      <c r="A407" t="e">
        <f>- 향후 내수에서 경쟁력 떨어지는 설비 셧다운 추진하고</f>
        <v>#NAME?</v>
      </c>
      <c r="B407" t="s">
        <v>1149</v>
      </c>
    </row>
    <row r="408" spans="1:4">
      <c r="A408" t="e">
        <f>- 해외는 인도</f>
        <v>#NAME?</v>
      </c>
      <c r="B408" t="s">
        <v>1150</v>
      </c>
    </row>
    <row r="409" spans="1:4">
      <c r="A409" t="s">
        <v>1151</v>
      </c>
      <c r="B409" t="s">
        <v>1152</v>
      </c>
      <c r="C409" t="s">
        <v>1153</v>
      </c>
      <c r="D409" t="s">
        <v>1154</v>
      </c>
    </row>
    <row r="410" spans="1:4">
      <c r="A410" t="e">
        <f>- 수소환원제철은 탈탄소 로드맵에 따라 진행</f>
        <v>#NAME?</v>
      </c>
      <c r="B410" t="s">
        <v>1155</v>
      </c>
    </row>
    <row r="411" spans="1:4">
      <c r="A411" t="e">
        <f>- 우선순위: 미국 &gt; 인도 &gt; 인니 &gt; 호주</f>
        <v>#NAME?</v>
      </c>
    </row>
    <row r="412" spans="1:4">
      <c r="A412" t="e">
        <f>- 이차전지: 우량자원 인수 및 원가경쟁력 확보를 우선순위로 함</f>
        <v>#NAME?</v>
      </c>
    </row>
    <row r="413" spans="1:4">
      <c r="A413" t="e">
        <f>- 이와 별개로 장기성장성 확보를 위해 글로벌 경쟁력을 가진 규모 있는 사업</f>
        <v>#NAME?</v>
      </c>
      <c r="B413" t="s">
        <v>1156</v>
      </c>
    </row>
    <row r="414" spans="1:4">
      <c r="A414" t="s">
        <v>1157</v>
      </c>
      <c r="B414" t="s">
        <v>1158</v>
      </c>
    </row>
    <row r="415" spans="1:4">
      <c r="A415" t="e">
        <f>- 배터리 관련 구조조정이 실제로 발생 중</f>
        <v>#NAME?</v>
      </c>
    </row>
    <row r="416" spans="1:4">
      <c r="A416" t="e">
        <f ca="1">- 영향은 가격 상승(리튬 등 하방경직성)</f>
        <v>#NAME?</v>
      </c>
    </row>
    <row r="417" spans="1:2">
      <c r="A417" t="e">
        <f>- 기존 지급했던 보조금 철폐</f>
        <v>#NAME?</v>
      </c>
    </row>
    <row r="418" spans="1:2">
      <c r="A418" t="e">
        <f>- 한국과 중국의 원가 갭을 상당히 메꿈</f>
        <v>#NAME?</v>
      </c>
    </row>
    <row r="419" spans="1:2">
      <c r="A419" t="e">
        <f>- 미국 관세가 중국에 부과되면서 한국산의 가격경쟁력 확보</f>
        <v>#NAME?</v>
      </c>
    </row>
    <row r="420" spans="1:2">
      <c r="A420" t="e">
        <f>- 이차전지 특유 고질병인 공급과잉 해소되는 부분이 조금 있음</f>
        <v>#NAME?</v>
      </c>
    </row>
    <row r="421" spans="1:2">
      <c r="A421" t="s">
        <v>1159</v>
      </c>
    </row>
    <row r="422" spans="1:2">
      <c r="A422" t="s">
        <v>1160</v>
      </c>
    </row>
    <row r="423" spans="1:2">
      <c r="A423" t="e">
        <f>- 내년 실적 개선 단언 힘들지만</f>
        <v>#NAME?</v>
      </c>
      <c r="B423" t="s">
        <v>1161</v>
      </c>
    </row>
    <row r="424" spans="1:2">
      <c r="A424" t="s">
        <v>1162</v>
      </c>
    </row>
    <row r="425" spans="1:2">
      <c r="A425" t="s">
        <v>1163</v>
      </c>
      <c r="B425" t="s">
        <v>1164</v>
      </c>
    </row>
    <row r="426" spans="1:2">
      <c r="A426" t="e">
        <f>- 올해 수익성 중 일부가 원료가 하락에 환율 급등에 따라 스프레드가 도움이 됨</f>
        <v>#NAME?</v>
      </c>
    </row>
    <row r="427" spans="1:2">
      <c r="A427" t="e">
        <f>- 내년 철강시황 자체가 올해 대비 급격히 개선 전망은 아님</f>
        <v>#NAME?</v>
      </c>
    </row>
    <row r="428" spans="1:2">
      <c r="A428" t="e">
        <f>- AD효과가 후판에서 나타나고 열연도 연말부터 나타날 것으로 보면 판가는 점차 오를 것으로 볼 수 있음</f>
        <v>#NAME?</v>
      </c>
    </row>
    <row r="429" spans="1:2">
      <c r="A429" t="s">
        <v>1165</v>
      </c>
      <c r="B429" t="s">
        <v>1166</v>
      </c>
    </row>
    <row r="430" spans="1:2">
      <c r="A430" t="s">
        <v>1167</v>
      </c>
    </row>
    <row r="431" spans="1:2">
      <c r="A431" t="e">
        <f>- 판재류보다는 형강이나 철근에 집중</f>
        <v>#NAME?</v>
      </c>
    </row>
    <row r="432" spans="1:2">
      <c r="A432" t="e">
        <f>- 포스코의 단기적 영향은 크지 않을 것</f>
        <v>#NAME?</v>
      </c>
    </row>
    <row r="433" spans="1:5">
      <c r="A433" t="s">
        <v>1168</v>
      </c>
      <c r="B433" t="s">
        <v>1169</v>
      </c>
    </row>
    <row r="434" spans="1:5">
      <c r="A434" t="s">
        <v>1170</v>
      </c>
    </row>
    <row r="435" spans="1:5">
      <c r="A435" t="s">
        <v>1171</v>
      </c>
    </row>
    <row r="436" spans="1:5">
      <c r="A436" t="s">
        <v>1172</v>
      </c>
    </row>
    <row r="437" spans="1:5">
      <c r="A437" t="e">
        <f>- 포항제철소 자체가 흑자전환이기에 흑자로 추측</f>
        <v>#NAME?</v>
      </c>
    </row>
    <row r="438" spans="1:5">
      <c r="A438" t="s">
        <v>1173</v>
      </c>
    </row>
    <row r="439" spans="1:5">
      <c r="A439" t="e">
        <f>- 하북 철강사 중 실력이 좋은 철강사 차별화 요구</f>
        <v>#NAME?</v>
      </c>
      <c r="B439" t="s">
        <v>1174</v>
      </c>
    </row>
    <row r="440" spans="1:5">
      <c r="A440" t="e">
        <f>- 추가적인 생산량 감소와 생산 Capa 감소를 전망</f>
        <v>#NAME?</v>
      </c>
    </row>
    <row r="441" spans="1:5">
      <c r="A441" t="e">
        <f>- 내수 수요도 같이 부진하여</f>
        <v>#NAME?</v>
      </c>
      <c r="B441" t="s">
        <v>1175</v>
      </c>
    </row>
    <row r="442" spans="1:5">
      <c r="A442" t="s">
        <v>1176</v>
      </c>
    </row>
    <row r="443" spans="1:5">
      <c r="A443" t="e">
        <f>- 지난 미국 유타 주 자원을 보유한 호주 앤슨 리소시스와 MOU 체결</f>
        <v>#NAME?</v>
      </c>
    </row>
    <row r="444" spans="1:5">
      <c r="A444" t="e">
        <f>- 협력프로젝트는 기술검증을 위한 데모플랜트 추진 위함. 미 정부 보조금 신청 준비 부재</f>
        <v>#NAME?</v>
      </c>
    </row>
    <row r="445" spans="1:5">
      <c r="A445" t="s">
        <v>1177</v>
      </c>
    </row>
    <row r="446" spans="1:5">
      <c r="A446" t="e">
        <f>- 공시 이외 진전 내용 부재</f>
        <v>#NAME?</v>
      </c>
    </row>
    <row r="447" spans="1:5">
      <c r="A447" t="s">
        <v>1178</v>
      </c>
    </row>
    <row r="448" spans="1:5">
      <c r="A448" t="e">
        <f>- 리튬 수요는 크게 세 가지임. 전기차</f>
        <v>#NAME?</v>
      </c>
      <c r="B448" t="s">
        <v>1179</v>
      </c>
      <c r="C448" t="s">
        <v>1180</v>
      </c>
      <c r="D448" t="s">
        <v>1181</v>
      </c>
      <c r="E448" t="s">
        <v>1182</v>
      </c>
    </row>
    <row r="449" spans="1:2">
      <c r="A449" t="s">
        <v>1183</v>
      </c>
      <c r="B449" t="s">
        <v>1184</v>
      </c>
    </row>
    <row r="450" spans="1:2">
      <c r="A450" t="s">
        <v>1185</v>
      </c>
      <c r="B450" t="s">
        <v>1186</v>
      </c>
    </row>
    <row r="451" spans="1:2">
      <c r="A451" t="s">
        <v>1187</v>
      </c>
      <c r="B451" t="s">
        <v>1188</v>
      </c>
    </row>
    <row r="452" spans="1:2">
      <c r="A452" t="s">
        <v>1189</v>
      </c>
    </row>
    <row r="453" spans="1:2">
      <c r="A453" t="s">
        <v>1190</v>
      </c>
      <c r="B453" t="s">
        <v>1191</v>
      </c>
    </row>
    <row r="454" spans="1:2">
      <c r="A454" t="s">
        <v>1192</v>
      </c>
      <c r="B454" t="s">
        <v>1193</v>
      </c>
    </row>
    <row r="455" spans="1:2">
      <c r="A455" t="e">
        <f>- 인증도 고객사와 추진 중</f>
        <v>#NAME?</v>
      </c>
    </row>
    <row r="456" spans="1:2">
      <c r="A456" t="s">
        <v>1194</v>
      </c>
    </row>
    <row r="457" spans="1:2">
      <c r="A457" t="e">
        <f>- 내년초 램프업 종료</f>
        <v>#NAME?</v>
      </c>
      <c r="B457" t="s">
        <v>1195</v>
      </c>
    </row>
    <row r="458" spans="1:2">
      <c r="A458" t="s">
        <v>1196</v>
      </c>
    </row>
    <row r="459" spans="1:2">
      <c r="A459" t="e">
        <f>- 예상했던 바이고</f>
        <v>#NAME?</v>
      </c>
      <c r="B459" t="s">
        <v>1197</v>
      </c>
    </row>
    <row r="460" spans="1:2">
      <c r="A460" t="e">
        <f>- 다만</f>
        <v>#NAME?</v>
      </c>
      <c r="B460" t="s">
        <v>1198</v>
      </c>
    </row>
    <row r="461" spans="1:2">
      <c r="A461" t="e">
        <f>- 또 하나는 유럽이 최근 시황이 좋아서 판매량을 늘려왔는데</f>
        <v>#NAME?</v>
      </c>
      <c r="B461" t="s">
        <v>1199</v>
      </c>
    </row>
    <row r="462" spans="1:2">
      <c r="A462" t="e">
        <f>- 유럽 판매중인 물량도 수익이 낮은것들이 있어서 전환하면 큰 타격 없게 만드는 중</f>
        <v>#NAME?</v>
      </c>
    </row>
    <row r="463" spans="1:2">
      <c r="A463" t="e">
        <f>- 최종 쿼터가 몇톤이 되냐에 따라 시나리오 마련해서 전환계획을 수립해 높은 상태</f>
        <v>#NAME?</v>
      </c>
    </row>
    <row r="464" spans="1:2">
      <c r="A464" t="e">
        <f>- 통상정책에 영향을 행사할 수 있는 전략고객과 같이 검토하는 방안도 있음</f>
        <v>#NAME?</v>
      </c>
    </row>
    <row r="465" spans="1:2">
      <c r="A465" t="s">
        <v>1200</v>
      </c>
    </row>
    <row r="466" spans="1:2">
      <c r="A466" t="s">
        <v>1201</v>
      </c>
    </row>
    <row r="467" spans="1:2">
      <c r="A467" t="s">
        <v>1202</v>
      </c>
      <c r="B467" t="s">
        <v>1203</v>
      </c>
    </row>
    <row r="468" spans="1:2">
      <c r="A468" t="s">
        <v>1204</v>
      </c>
      <c r="B468" t="s">
        <v>1205</v>
      </c>
    </row>
    <row r="469" spans="1:2">
      <c r="A469" t="s">
        <v>1206</v>
      </c>
    </row>
    <row r="470" spans="1:2">
      <c r="A470" t="s">
        <v>1207</v>
      </c>
    </row>
    <row r="471" spans="1:2">
      <c r="A471" t="s">
        <v>1208</v>
      </c>
    </row>
    <row r="472" spans="1:2">
      <c r="A472" t="e">
        <f>- 처음으로 철강사가 협상력을 가져올 수 있는 마중물 역할로서 이벤트 기대</f>
        <v>#NAME?</v>
      </c>
    </row>
    <row r="473" spans="1:2">
      <c r="A473" t="e">
        <f>- 언론과 달리 시장에 큰 파장 없음</f>
        <v>#NAME?</v>
      </c>
    </row>
    <row r="474" spans="1:2">
      <c r="A474" t="e">
        <f>- 분쟁으로 인해 스팟물량이 시장에 풀리면 우리에겐 저가매수 기회임</f>
        <v>#NAME?</v>
      </c>
    </row>
    <row r="475" spans="1:2">
      <c r="A475" t="s">
        <v>1209</v>
      </c>
    </row>
    <row r="476" spans="1:2">
      <c r="A476" t="s">
        <v>1210</v>
      </c>
    </row>
    <row r="477" spans="1:2">
      <c r="A477" t="s">
        <v>1211</v>
      </c>
    </row>
    <row r="478" spans="1:2">
      <c r="A478" t="s">
        <v>1211</v>
      </c>
      <c r="B478" t="s">
        <v>1212</v>
      </c>
    </row>
    <row r="479" spans="1:2">
      <c r="A479" t="s">
        <v>1213</v>
      </c>
    </row>
    <row r="480" spans="1:2">
      <c r="A480" t="s">
        <v>1214</v>
      </c>
      <c r="B480" t="s">
        <v>1215</v>
      </c>
    </row>
    <row r="481" spans="1:3">
      <c r="A481" t="s">
        <v>1216</v>
      </c>
      <c r="B481" t="s">
        <v>1217</v>
      </c>
    </row>
    <row r="482" spans="1:3">
      <c r="A482" t="s">
        <v>1218</v>
      </c>
      <c r="B482" t="s">
        <v>1219</v>
      </c>
    </row>
    <row r="483" spans="1:3">
      <c r="A483" t="s">
        <v>1220</v>
      </c>
      <c r="B483" t="s">
        <v>1221</v>
      </c>
    </row>
    <row r="484" spans="1:3">
      <c r="A484" t="s">
        <v>1222</v>
      </c>
      <c r="B484" t="s">
        <v>1223</v>
      </c>
      <c r="C484" t="s">
        <v>1224</v>
      </c>
    </row>
    <row r="485" spans="1:3">
      <c r="A485" t="s">
        <v>1225</v>
      </c>
    </row>
    <row r="486" spans="1:3">
      <c r="A486" t="s">
        <v>1226</v>
      </c>
    </row>
    <row r="487" spans="1:3">
      <c r="A487" t="s">
        <v>1227</v>
      </c>
      <c r="B487" t="s">
        <v>1228</v>
      </c>
    </row>
    <row r="488" spans="1:3">
      <c r="A488" t="s">
        <v>1229</v>
      </c>
    </row>
    <row r="489" spans="1:3">
      <c r="A489" t="s">
        <v>1230</v>
      </c>
    </row>
    <row r="490" spans="1:3">
      <c r="A490" t="s">
        <v>1231</v>
      </c>
    </row>
    <row r="491" spans="1:3">
      <c r="A491" t="s">
        <v>1232</v>
      </c>
      <c r="B491" t="s">
        <v>1233</v>
      </c>
      <c r="C491" t="s">
        <v>1234</v>
      </c>
    </row>
    <row r="492" spans="1:3">
      <c r="A492" t="s">
        <v>1235</v>
      </c>
    </row>
    <row r="493" spans="1:3">
      <c r="A493" t="s">
        <v>1230</v>
      </c>
    </row>
    <row r="494" spans="1:3">
      <c r="A494" t="s">
        <v>1236</v>
      </c>
      <c r="B494" t="s">
        <v>1237</v>
      </c>
    </row>
    <row r="495" spans="1:3">
      <c r="A495" t="s">
        <v>1236</v>
      </c>
      <c r="B495" t="s">
        <v>1237</v>
      </c>
    </row>
    <row r="496" spans="1:3">
      <c r="A496" t="s">
        <v>1238</v>
      </c>
      <c r="B496" t="s">
        <v>1239</v>
      </c>
    </row>
    <row r="497" spans="1:4">
      <c r="A497" t="s">
        <v>1230</v>
      </c>
    </row>
    <row r="498" spans="1:4">
      <c r="A498" t="s">
        <v>1240</v>
      </c>
    </row>
    <row r="499" spans="1:4">
      <c r="A499" t="s">
        <v>1241</v>
      </c>
    </row>
    <row r="500" spans="1:4">
      <c r="A500" t="s">
        <v>1242</v>
      </c>
    </row>
    <row r="501" spans="1:4">
      <c r="A501" t="s">
        <v>1230</v>
      </c>
    </row>
    <row r="502" spans="1:4">
      <c r="A502" t="s">
        <v>1243</v>
      </c>
    </row>
    <row r="503" spans="1:4">
      <c r="A503" t="s">
        <v>1244</v>
      </c>
      <c r="B503" t="s">
        <v>1245</v>
      </c>
    </row>
    <row r="504" spans="1:4">
      <c r="A504" t="s">
        <v>1246</v>
      </c>
      <c r="B504" t="s">
        <v>1247</v>
      </c>
    </row>
    <row r="505" spans="1:4">
      <c r="A505" t="s">
        <v>1248</v>
      </c>
    </row>
    <row r="506" spans="1:4">
      <c r="A506" t="s">
        <v>1249</v>
      </c>
      <c r="B506" t="s">
        <v>1250</v>
      </c>
    </row>
    <row r="507" spans="1:4">
      <c r="A507" t="s">
        <v>1249</v>
      </c>
      <c r="B507" t="s">
        <v>1250</v>
      </c>
    </row>
    <row r="508" spans="1:4">
      <c r="A508" t="s">
        <v>1251</v>
      </c>
      <c r="B508" t="s">
        <v>1252</v>
      </c>
    </row>
    <row r="509" spans="1:4">
      <c r="A509" t="s">
        <v>1230</v>
      </c>
    </row>
    <row r="510" spans="1:4">
      <c r="A510" t="s">
        <v>1253</v>
      </c>
    </row>
    <row r="511" spans="1:4">
      <c r="A511" t="s">
        <v>1254</v>
      </c>
      <c r="B511" t="s">
        <v>1255</v>
      </c>
    </row>
    <row r="512" spans="1:4">
      <c r="A512" t="s">
        <v>1256</v>
      </c>
      <c r="B512" t="s">
        <v>1257</v>
      </c>
      <c r="C512" t="s">
        <v>1258</v>
      </c>
      <c r="D512" t="s">
        <v>1259</v>
      </c>
    </row>
    <row r="513" spans="1:3">
      <c r="A513" t="s">
        <v>1260</v>
      </c>
      <c r="B513" t="s">
        <v>1261</v>
      </c>
      <c r="C513" t="s">
        <v>1262</v>
      </c>
    </row>
    <row r="514" spans="1:3">
      <c r="A514" t="s">
        <v>1263</v>
      </c>
      <c r="B514" t="s">
        <v>1264</v>
      </c>
      <c r="C514" t="s">
        <v>1265</v>
      </c>
    </row>
    <row r="515" spans="1:3">
      <c r="A515" t="s">
        <v>1266</v>
      </c>
    </row>
    <row r="516" spans="1:3">
      <c r="A516" t="s">
        <v>1267</v>
      </c>
    </row>
    <row r="517" spans="1:3">
      <c r="A517" t="s">
        <v>1268</v>
      </c>
      <c r="B517" t="s">
        <v>1269</v>
      </c>
    </row>
    <row r="518" spans="1:3">
      <c r="A518" t="s">
        <v>1230</v>
      </c>
    </row>
    <row r="519" spans="1:3">
      <c r="A519" t="s">
        <v>1270</v>
      </c>
    </row>
    <row r="520" spans="1:3">
      <c r="A520" t="s">
        <v>1270</v>
      </c>
    </row>
    <row r="521" spans="1:3">
      <c r="A521" t="s">
        <v>1271</v>
      </c>
    </row>
    <row r="522" spans="1:3">
      <c r="A522" t="s">
        <v>1230</v>
      </c>
    </row>
    <row r="523" spans="1:3">
      <c r="A523" t="s">
        <v>1272</v>
      </c>
    </row>
    <row r="524" spans="1:3">
      <c r="A524" t="s">
        <v>1273</v>
      </c>
      <c r="B524" t="s">
        <v>1274</v>
      </c>
      <c r="C524" t="s">
        <v>1275</v>
      </c>
    </row>
    <row r="525" spans="1:3">
      <c r="A525" t="s">
        <v>1276</v>
      </c>
    </row>
    <row r="526" spans="1:3">
      <c r="A526" t="s">
        <v>1277</v>
      </c>
    </row>
    <row r="527" spans="1:3">
      <c r="A527" t="s">
        <v>1278</v>
      </c>
      <c r="B527" t="s">
        <v>1279</v>
      </c>
    </row>
    <row r="528" spans="1:3">
      <c r="A528" t="s">
        <v>1280</v>
      </c>
      <c r="B528" t="s">
        <v>1281</v>
      </c>
    </row>
    <row r="529" spans="1:5">
      <c r="A529" t="s">
        <v>1280</v>
      </c>
      <c r="B529" t="s">
        <v>1281</v>
      </c>
    </row>
    <row r="530" spans="1:5">
      <c r="A530" t="s">
        <v>1282</v>
      </c>
    </row>
    <row r="531" spans="1:5">
      <c r="A531" t="s">
        <v>1230</v>
      </c>
    </row>
    <row r="532" spans="1:5">
      <c r="A532" t="s">
        <v>1283</v>
      </c>
      <c r="B532" t="s">
        <v>1284</v>
      </c>
    </row>
    <row r="533" spans="1:5">
      <c r="A533" t="s">
        <v>1283</v>
      </c>
      <c r="B533" t="s">
        <v>1285</v>
      </c>
    </row>
    <row r="534" spans="1:5">
      <c r="A534" t="s">
        <v>1286</v>
      </c>
    </row>
    <row r="535" spans="1:5">
      <c r="A535" t="s">
        <v>1287</v>
      </c>
    </row>
    <row r="536" spans="1:5">
      <c r="A536" t="s">
        <v>1288</v>
      </c>
      <c r="B536" t="s">
        <v>1289</v>
      </c>
    </row>
    <row r="537" spans="1:5">
      <c r="A537" t="s">
        <v>1290</v>
      </c>
      <c r="B537" t="s">
        <v>1291</v>
      </c>
    </row>
    <row r="538" spans="1:5">
      <c r="A538" t="s">
        <v>1292</v>
      </c>
    </row>
    <row r="539" spans="1:5">
      <c r="A539" t="s">
        <v>1293</v>
      </c>
      <c r="B539" t="s">
        <v>1294</v>
      </c>
    </row>
    <row r="540" spans="1:5">
      <c r="A540" t="s">
        <v>1295</v>
      </c>
      <c r="B540" t="s">
        <v>1296</v>
      </c>
    </row>
    <row r="541" spans="1:5">
      <c r="A541" t="s">
        <v>1297</v>
      </c>
      <c r="B541" t="s">
        <v>1298</v>
      </c>
    </row>
    <row r="542" spans="1:5">
      <c r="A542" t="s">
        <v>1299</v>
      </c>
      <c r="B542" t="s">
        <v>1300</v>
      </c>
    </row>
    <row r="543" spans="1:5">
      <c r="A543" t="s">
        <v>1301</v>
      </c>
      <c r="B543" t="s">
        <v>1302</v>
      </c>
    </row>
    <row r="544" spans="1:5">
      <c r="A544" t="s">
        <v>1303</v>
      </c>
      <c r="B544" t="s">
        <v>1304</v>
      </c>
      <c r="C544" t="s">
        <v>1305</v>
      </c>
      <c r="D544" t="s">
        <v>1306</v>
      </c>
      <c r="E544" t="s">
        <v>1307</v>
      </c>
    </row>
    <row r="545" spans="1:4">
      <c r="A545" t="s">
        <v>1308</v>
      </c>
      <c r="B545" t="s">
        <v>1309</v>
      </c>
    </row>
    <row r="546" spans="1:4">
      <c r="A546" t="s">
        <v>1310</v>
      </c>
      <c r="B546" t="s">
        <v>1311</v>
      </c>
      <c r="C546" t="s">
        <v>1312</v>
      </c>
    </row>
    <row r="547" spans="1:4">
      <c r="A547" t="s">
        <v>1313</v>
      </c>
      <c r="B547" t="s">
        <v>1314</v>
      </c>
      <c r="C547" t="s">
        <v>1315</v>
      </c>
      <c r="D547" t="s">
        <v>1316</v>
      </c>
    </row>
    <row r="548" spans="1:4">
      <c r="A548" t="s">
        <v>1317</v>
      </c>
      <c r="B548" t="s">
        <v>1318</v>
      </c>
      <c r="C548" t="s">
        <v>1319</v>
      </c>
    </row>
    <row r="549" spans="1:4">
      <c r="A549" t="s">
        <v>1320</v>
      </c>
      <c r="B549" t="s">
        <v>1321</v>
      </c>
    </row>
    <row r="550" spans="1:4">
      <c r="A550" t="s">
        <v>1322</v>
      </c>
      <c r="B550" t="s">
        <v>1323</v>
      </c>
    </row>
    <row r="551" spans="1:4">
      <c r="A551" t="s">
        <v>1324</v>
      </c>
    </row>
    <row r="552" spans="1:4">
      <c r="A552" t="s">
        <v>1325</v>
      </c>
    </row>
    <row r="553" spans="1:4">
      <c r="A553" t="s">
        <v>1326</v>
      </c>
    </row>
    <row r="554" spans="1:4">
      <c r="A554" t="s">
        <v>1327</v>
      </c>
      <c r="B554" t="s">
        <v>1328</v>
      </c>
    </row>
    <row r="555" spans="1:4">
      <c r="A555" t="s">
        <v>1329</v>
      </c>
    </row>
    <row r="556" spans="1:4">
      <c r="A556" t="s">
        <v>1330</v>
      </c>
    </row>
    <row r="557" spans="1:4">
      <c r="A557" t="s">
        <v>1331</v>
      </c>
      <c r="B557" t="s">
        <v>1332</v>
      </c>
    </row>
    <row r="558" spans="1:4">
      <c r="A558" t="s">
        <v>1333</v>
      </c>
    </row>
    <row r="559" spans="1:4">
      <c r="A559" t="s">
        <v>1334</v>
      </c>
    </row>
    <row r="560" spans="1:4">
      <c r="A560" t="s">
        <v>1335</v>
      </c>
    </row>
    <row r="561" spans="1:2">
      <c r="A561" t="s">
        <v>1336</v>
      </c>
      <c r="B561" t="s">
        <v>1337</v>
      </c>
    </row>
    <row r="562" spans="1:2">
      <c r="A562" t="s">
        <v>1338</v>
      </c>
    </row>
    <row r="563" spans="1:2">
      <c r="A563" t="s">
        <v>1339</v>
      </c>
    </row>
    <row r="564" spans="1:2">
      <c r="A564" t="s">
        <v>1340</v>
      </c>
    </row>
    <row r="565" spans="1:2">
      <c r="A565" t="s">
        <v>1341</v>
      </c>
    </row>
    <row r="566" spans="1:2">
      <c r="A566" t="s">
        <v>1342</v>
      </c>
      <c r="B566" t="s">
        <v>1343</v>
      </c>
    </row>
    <row r="567" spans="1:2">
      <c r="A567" t="s">
        <v>1344</v>
      </c>
    </row>
    <row r="568" spans="1:2">
      <c r="A568" t="s">
        <v>1345</v>
      </c>
      <c r="B568" t="s">
        <v>1346</v>
      </c>
    </row>
    <row r="569" spans="1:2">
      <c r="A569" t="s">
        <v>1347</v>
      </c>
      <c r="B569" t="s">
        <v>1348</v>
      </c>
    </row>
    <row r="570" spans="1:2">
      <c r="A570" t="s">
        <v>1349</v>
      </c>
      <c r="B570" t="s">
        <v>1350</v>
      </c>
    </row>
    <row r="571" spans="1:2">
      <c r="A571" t="s">
        <v>1351</v>
      </c>
      <c r="B571" t="s">
        <v>1352</v>
      </c>
    </row>
    <row r="572" spans="1:2">
      <c r="A572" t="s">
        <v>1353</v>
      </c>
      <c r="B572" t="s">
        <v>1354</v>
      </c>
    </row>
    <row r="573" spans="1:2">
      <c r="A573" t="s">
        <v>1355</v>
      </c>
    </row>
    <row r="574" spans="1:2">
      <c r="A574" t="s">
        <v>1356</v>
      </c>
    </row>
    <row r="575" spans="1:2">
      <c r="A575" t="s">
        <v>1357</v>
      </c>
    </row>
    <row r="576" spans="1:2">
      <c r="A576" t="s">
        <v>1358</v>
      </c>
    </row>
    <row r="577" spans="1:6">
      <c r="A577" t="s">
        <v>1359</v>
      </c>
    </row>
    <row r="578" spans="1:6">
      <c r="A578" t="s">
        <v>1360</v>
      </c>
      <c r="B578" t="s">
        <v>1361</v>
      </c>
    </row>
    <row r="579" spans="1:6">
      <c r="A579" t="s">
        <v>1360</v>
      </c>
      <c r="B579" t="s">
        <v>1362</v>
      </c>
    </row>
    <row r="580" spans="1:6">
      <c r="A580" t="s">
        <v>1363</v>
      </c>
    </row>
    <row r="581" spans="1:6">
      <c r="A581" t="s">
        <v>1287</v>
      </c>
    </row>
    <row r="582" spans="1:6">
      <c r="A582" t="s">
        <v>1364</v>
      </c>
      <c r="B582" t="s">
        <v>1365</v>
      </c>
    </row>
    <row r="583" spans="1:6">
      <c r="A583" t="s">
        <v>1366</v>
      </c>
      <c r="B583" t="s">
        <v>1367</v>
      </c>
      <c r="C583" t="s">
        <v>1368</v>
      </c>
    </row>
    <row r="584" spans="1:6">
      <c r="A584" t="s">
        <v>1369</v>
      </c>
      <c r="B584" t="s">
        <v>1370</v>
      </c>
      <c r="C584" t="s">
        <v>1371</v>
      </c>
      <c r="D584" t="s">
        <v>1372</v>
      </c>
    </row>
    <row r="585" spans="1:6">
      <c r="A585" t="s">
        <v>1373</v>
      </c>
      <c r="B585" t="s">
        <v>1374</v>
      </c>
      <c r="C585" t="s">
        <v>1375</v>
      </c>
    </row>
    <row r="586" spans="1:6">
      <c r="A586" t="s">
        <v>1376</v>
      </c>
      <c r="B586" t="s">
        <v>1377</v>
      </c>
    </row>
    <row r="587" spans="1:6">
      <c r="A587" t="s">
        <v>1378</v>
      </c>
      <c r="B587" t="s">
        <v>1379</v>
      </c>
      <c r="C587" t="s">
        <v>1380</v>
      </c>
      <c r="D587" t="s">
        <v>1381</v>
      </c>
      <c r="E587" t="s">
        <v>1382</v>
      </c>
      <c r="F587" t="s">
        <v>1383</v>
      </c>
    </row>
    <row r="588" spans="1:6">
      <c r="A588" t="s">
        <v>1384</v>
      </c>
    </row>
    <row r="589" spans="1:6">
      <c r="A589" t="s">
        <v>1385</v>
      </c>
    </row>
    <row r="590" spans="1:6">
      <c r="A590" t="s">
        <v>1386</v>
      </c>
    </row>
    <row r="591" spans="1:6">
      <c r="A591" t="s">
        <v>1387</v>
      </c>
    </row>
    <row r="592" spans="1:6">
      <c r="A592" t="s">
        <v>1388</v>
      </c>
    </row>
    <row r="593" spans="1:13">
      <c r="A593" t="s">
        <v>1389</v>
      </c>
    </row>
    <row r="594" spans="1:13">
      <c r="A594" t="s">
        <v>1390</v>
      </c>
    </row>
    <row r="595" spans="1:13">
      <c r="A595" t="s">
        <v>1391</v>
      </c>
    </row>
    <row r="596" spans="1:13">
      <c r="A596" t="s">
        <v>1392</v>
      </c>
      <c r="B596" t="s">
        <v>1393</v>
      </c>
      <c r="C596" t="s">
        <v>1394</v>
      </c>
      <c r="D596" t="s">
        <v>1395</v>
      </c>
      <c r="E596" t="s">
        <v>1396</v>
      </c>
      <c r="F596" t="s">
        <v>1397</v>
      </c>
    </row>
    <row r="597" spans="1:13">
      <c r="A597" t="s">
        <v>1398</v>
      </c>
    </row>
    <row r="598" spans="1:13">
      <c r="A598" t="s">
        <v>1399</v>
      </c>
    </row>
    <row r="599" spans="1:13">
      <c r="A599" t="s">
        <v>1400</v>
      </c>
      <c r="B599" t="s">
        <v>1401</v>
      </c>
      <c r="C599" t="s">
        <v>1402</v>
      </c>
      <c r="D599" t="s">
        <v>1403</v>
      </c>
    </row>
    <row r="600" spans="1:13">
      <c r="A600" t="s">
        <v>1404</v>
      </c>
    </row>
    <row r="601" spans="1:13">
      <c r="A601" t="s">
        <v>1405</v>
      </c>
      <c r="B601" t="s">
        <v>1381</v>
      </c>
      <c r="C601" t="s">
        <v>1406</v>
      </c>
      <c r="D601" t="s">
        <v>1407</v>
      </c>
      <c r="E601" t="s">
        <v>1408</v>
      </c>
      <c r="F601" t="s">
        <v>1409</v>
      </c>
      <c r="G601" t="s">
        <v>1410</v>
      </c>
      <c r="H601" t="s">
        <v>1411</v>
      </c>
      <c r="I601" t="s">
        <v>1412</v>
      </c>
      <c r="J601" t="s">
        <v>1413</v>
      </c>
      <c r="K601" t="s">
        <v>1414</v>
      </c>
      <c r="L601" t="s">
        <v>1415</v>
      </c>
      <c r="M601" t="s">
        <v>1416</v>
      </c>
    </row>
    <row r="602" spans="1:13">
      <c r="A602" t="s">
        <v>1417</v>
      </c>
      <c r="B602" t="s">
        <v>1418</v>
      </c>
      <c r="C602" t="s">
        <v>1419</v>
      </c>
      <c r="D602" t="s">
        <v>1420</v>
      </c>
      <c r="E602" t="s">
        <v>1421</v>
      </c>
      <c r="F602" t="s">
        <v>1422</v>
      </c>
      <c r="G602" t="s">
        <v>1423</v>
      </c>
    </row>
    <row r="603" spans="1:13">
      <c r="A603" t="s">
        <v>1424</v>
      </c>
    </row>
    <row r="604" spans="1:13">
      <c r="A604" t="s">
        <v>1425</v>
      </c>
    </row>
    <row r="605" spans="1:13">
      <c r="A605" t="s">
        <v>1426</v>
      </c>
    </row>
    <row r="606" spans="1:13">
      <c r="A606" t="s">
        <v>1427</v>
      </c>
    </row>
    <row r="607" spans="1:13">
      <c r="A607" t="s">
        <v>1428</v>
      </c>
    </row>
    <row r="608" spans="1:13">
      <c r="A608" t="s">
        <v>1429</v>
      </c>
    </row>
    <row r="609" spans="1:5">
      <c r="A609" t="s">
        <v>1430</v>
      </c>
    </row>
    <row r="610" spans="1:5">
      <c r="A610" t="s">
        <v>1431</v>
      </c>
      <c r="B610" t="s">
        <v>1432</v>
      </c>
    </row>
    <row r="611" spans="1:5">
      <c r="A611" t="s">
        <v>1433</v>
      </c>
    </row>
    <row r="612" spans="1:5">
      <c r="A612" t="s">
        <v>1336</v>
      </c>
      <c r="B612" t="s">
        <v>1434</v>
      </c>
    </row>
    <row r="613" spans="1:5">
      <c r="A613" t="s">
        <v>1336</v>
      </c>
      <c r="B613" t="s">
        <v>1435</v>
      </c>
    </row>
    <row r="614" spans="1:5">
      <c r="A614" t="s">
        <v>1436</v>
      </c>
      <c r="B614" t="s">
        <v>1437</v>
      </c>
    </row>
    <row r="615" spans="1:5">
      <c r="A615" t="s">
        <v>1438</v>
      </c>
    </row>
    <row r="616" spans="1:5">
      <c r="A616" t="s">
        <v>1436</v>
      </c>
      <c r="B616" t="s">
        <v>1439</v>
      </c>
    </row>
    <row r="617" spans="1:5">
      <c r="A617" t="s">
        <v>1440</v>
      </c>
      <c r="B617" t="s">
        <v>1441</v>
      </c>
    </row>
    <row r="618" spans="1:5">
      <c r="A618" t="s">
        <v>1442</v>
      </c>
      <c r="B618" t="s">
        <v>1443</v>
      </c>
      <c r="C618" t="s">
        <v>1444</v>
      </c>
      <c r="D618" t="s">
        <v>1445</v>
      </c>
      <c r="E618" t="s">
        <v>1446</v>
      </c>
    </row>
    <row r="619" spans="1:5">
      <c r="A619" t="s">
        <v>1447</v>
      </c>
    </row>
    <row r="620" spans="1:5">
      <c r="A620" t="s">
        <v>1448</v>
      </c>
      <c r="B620" t="s">
        <v>1449</v>
      </c>
    </row>
    <row r="621" spans="1:5">
      <c r="A621" t="s">
        <v>1450</v>
      </c>
    </row>
    <row r="622" spans="1:5">
      <c r="A622" t="s">
        <v>1451</v>
      </c>
    </row>
    <row r="623" spans="1:5">
      <c r="A623" t="s">
        <v>1452</v>
      </c>
    </row>
    <row r="624" spans="1:5">
      <c r="A624" t="s">
        <v>1453</v>
      </c>
    </row>
    <row r="625" spans="1:2">
      <c r="A625" t="s">
        <v>1454</v>
      </c>
    </row>
    <row r="626" spans="1:2">
      <c r="A626" t="s">
        <v>1454</v>
      </c>
    </row>
    <row r="627" spans="1:2">
      <c r="A627" t="s">
        <v>1455</v>
      </c>
    </row>
    <row r="628" spans="1:2">
      <c r="A628" t="s">
        <v>1456</v>
      </c>
    </row>
    <row r="629" spans="1:2">
      <c r="A629" t="s">
        <v>1457</v>
      </c>
      <c r="B629" t="s">
        <v>1458</v>
      </c>
    </row>
    <row r="630" spans="1:2">
      <c r="A630" t="s">
        <v>1459</v>
      </c>
    </row>
    <row r="631" spans="1:2">
      <c r="A631" t="s">
        <v>1460</v>
      </c>
    </row>
    <row r="632" spans="1:2">
      <c r="A632" t="s">
        <v>1461</v>
      </c>
    </row>
    <row r="633" spans="1:2">
      <c r="A633" t="e">
        <f>- 부진한 대체투자 분야가 변수</f>
        <v>#NAME?</v>
      </c>
    </row>
    <row r="634" spans="1:2">
      <c r="A634" t="e">
        <f>- 대통령부터 장관</f>
        <v>#NAME?</v>
      </c>
      <c r="B634" t="s">
        <v>1462</v>
      </c>
    </row>
    <row r="635" spans="1:2">
      <c r="A635" t="e">
        <f>- 국내주식 투자비중 조정 시사</f>
        <v>#NAME?</v>
      </c>
    </row>
    <row r="636" spans="1:2">
      <c r="A636" t="s">
        <v>1463</v>
      </c>
    </row>
    <row r="637" spans="1:2">
      <c r="A637" t="s">
        <v>1464</v>
      </c>
    </row>
    <row r="638" spans="1:2">
      <c r="A638" t="s">
        <v>1464</v>
      </c>
    </row>
    <row r="639" spans="1:2">
      <c r="A639" t="s">
        <v>1465</v>
      </c>
    </row>
    <row r="640" spans="1:2">
      <c r="A640" t="s">
        <v>1230</v>
      </c>
    </row>
    <row r="641" spans="1:3">
      <c r="A641" t="s">
        <v>1466</v>
      </c>
      <c r="B641" t="s">
        <v>1467</v>
      </c>
    </row>
    <row r="642" spans="1:3">
      <c r="A642" t="s">
        <v>1468</v>
      </c>
      <c r="B642" t="s">
        <v>1469</v>
      </c>
    </row>
    <row r="643" spans="1:3">
      <c r="A643" t="s">
        <v>1470</v>
      </c>
    </row>
    <row r="644" spans="1:3">
      <c r="A644" t="s">
        <v>1471</v>
      </c>
    </row>
    <row r="645" spans="1:3">
      <c r="A645" t="s">
        <v>1472</v>
      </c>
    </row>
    <row r="646" spans="1:3">
      <c r="A646" t="s">
        <v>1473</v>
      </c>
    </row>
    <row r="647" spans="1:3">
      <c r="A647" t="s">
        <v>1473</v>
      </c>
    </row>
    <row r="648" spans="1:3">
      <c r="A648" t="s">
        <v>1474</v>
      </c>
      <c r="B648" t="s">
        <v>1475</v>
      </c>
      <c r="C648" t="s">
        <v>1476</v>
      </c>
    </row>
    <row r="649" spans="1:3">
      <c r="A649" t="s">
        <v>1230</v>
      </c>
    </row>
    <row r="650" spans="1:3">
      <c r="A650" t="s">
        <v>1477</v>
      </c>
    </row>
    <row r="651" spans="1:3">
      <c r="A651" t="s">
        <v>1478</v>
      </c>
    </row>
    <row r="652" spans="1:3">
      <c r="A652" t="s">
        <v>1479</v>
      </c>
    </row>
    <row r="653" spans="1:3">
      <c r="A653" t="s">
        <v>1480</v>
      </c>
      <c r="B653" t="s">
        <v>1481</v>
      </c>
    </row>
    <row r="654" spans="1:3">
      <c r="A654" t="s">
        <v>1482</v>
      </c>
    </row>
    <row r="655" spans="1:3">
      <c r="A655" t="s">
        <v>1483</v>
      </c>
    </row>
    <row r="656" spans="1:3">
      <c r="A656" t="s">
        <v>1484</v>
      </c>
      <c r="B656" t="s">
        <v>1485</v>
      </c>
    </row>
    <row r="657" spans="1:3">
      <c r="A657" t="s">
        <v>1484</v>
      </c>
      <c r="B657" t="s">
        <v>1485</v>
      </c>
    </row>
    <row r="658" spans="1:3">
      <c r="A658" t="s">
        <v>1486</v>
      </c>
      <c r="B658" t="s">
        <v>1487</v>
      </c>
    </row>
    <row r="659" spans="1:3">
      <c r="A659" t="s">
        <v>1488</v>
      </c>
    </row>
    <row r="660" spans="1:3">
      <c r="A660" t="s">
        <v>1489</v>
      </c>
      <c r="B660" t="s">
        <v>1490</v>
      </c>
    </row>
    <row r="661" spans="1:3">
      <c r="A661" t="e">
        <f>-입찰 물량 확정</f>
        <v>#NAME?</v>
      </c>
      <c r="B661" t="s">
        <v>1491</v>
      </c>
      <c r="C661" t="s">
        <v>1492</v>
      </c>
    </row>
    <row r="662" spans="1:3">
      <c r="A662" t="e">
        <f>-해상뿐 아니라 육상도</f>
        <v>#NAME?</v>
      </c>
    </row>
    <row r="663" spans="1:3">
      <c r="A663" t="e">
        <f>-중장기 물량 확정되면 업체들의 투자 가시성이 높아지고</f>
        <v>#NAME?</v>
      </c>
      <c r="B663" t="s">
        <v>1493</v>
      </c>
    </row>
    <row r="664" spans="1:3">
      <c r="A664" t="s">
        <v>1494</v>
      </c>
    </row>
    <row r="665" spans="1:3">
      <c r="A665" t="s">
        <v>1495</v>
      </c>
    </row>
    <row r="666" spans="1:3">
      <c r="A666" t="s">
        <v>1495</v>
      </c>
    </row>
    <row r="667" spans="1:3">
      <c r="A667" t="s">
        <v>1496</v>
      </c>
    </row>
    <row r="668" spans="1:3">
      <c r="A668" t="s">
        <v>1230</v>
      </c>
    </row>
    <row r="669" spans="1:3">
      <c r="A669" t="s">
        <v>1497</v>
      </c>
      <c r="B669" t="s">
        <v>1498</v>
      </c>
      <c r="C669" t="s">
        <v>1499</v>
      </c>
    </row>
    <row r="670" spans="1:3">
      <c r="A670" t="s">
        <v>1500</v>
      </c>
      <c r="B670" t="s">
        <v>1501</v>
      </c>
      <c r="C670" t="s">
        <v>1502</v>
      </c>
    </row>
    <row r="671" spans="1:3">
      <c r="A671" t="s">
        <v>1503</v>
      </c>
    </row>
    <row r="672" spans="1:3">
      <c r="A672" t="s">
        <v>1504</v>
      </c>
    </row>
    <row r="673" spans="1:14">
      <c r="A673" t="s">
        <v>1505</v>
      </c>
    </row>
    <row r="674" spans="1:14">
      <c r="A674" t="s">
        <v>1506</v>
      </c>
      <c r="B674" t="s">
        <v>1507</v>
      </c>
    </row>
    <row r="675" spans="1:14">
      <c r="A675" t="s">
        <v>1508</v>
      </c>
      <c r="B675" t="s">
        <v>1509</v>
      </c>
    </row>
    <row r="676" spans="1:14">
      <c r="A676" t="s">
        <v>1510</v>
      </c>
    </row>
    <row r="677" spans="1:14">
      <c r="A677" t="s">
        <v>1511</v>
      </c>
    </row>
    <row r="678" spans="1:14">
      <c r="A678" t="s">
        <v>1512</v>
      </c>
      <c r="B678" t="s">
        <v>1513</v>
      </c>
    </row>
    <row r="679" spans="1:14">
      <c r="A679" t="s">
        <v>1514</v>
      </c>
    </row>
    <row r="680" spans="1:14">
      <c r="A680" t="s">
        <v>1515</v>
      </c>
    </row>
    <row r="681" spans="1:14">
      <c r="A681" t="s">
        <v>1516</v>
      </c>
    </row>
    <row r="682" spans="1:14">
      <c r="A682" t="s">
        <v>1517</v>
      </c>
    </row>
    <row r="683" spans="1:14">
      <c r="A683" t="s">
        <v>1518</v>
      </c>
    </row>
    <row r="684" spans="1:14">
      <c r="A684" t="s">
        <v>1519</v>
      </c>
    </row>
    <row r="685" spans="1:14">
      <c r="A685" t="s">
        <v>1520</v>
      </c>
      <c r="B685" t="s">
        <v>1521</v>
      </c>
      <c r="C685">
        <v>20251028</v>
      </c>
      <c r="D685">
        <v>150</v>
      </c>
      <c r="E685">
        <v>0</v>
      </c>
      <c r="F685" t="s">
        <v>1522</v>
      </c>
      <c r="K685" t="s">
        <v>1523</v>
      </c>
      <c r="N685" s="2">
        <v>45964.258067129631</v>
      </c>
    </row>
    <row r="686" spans="1:14" ht="409.6">
      <c r="A686" t="s">
        <v>20</v>
      </c>
      <c r="B686" t="s">
        <v>1524</v>
      </c>
      <c r="C686" t="s">
        <v>1525</v>
      </c>
      <c r="D686" t="s">
        <v>1526</v>
      </c>
      <c r="E686" t="s">
        <v>1527</v>
      </c>
      <c r="F686" t="s">
        <v>1528</v>
      </c>
      <c r="G686" s="1" t="s">
        <v>1529</v>
      </c>
    </row>
    <row r="687" spans="1:14">
      <c r="A687" t="s">
        <v>1530</v>
      </c>
      <c r="B687" t="s">
        <v>1531</v>
      </c>
      <c r="C687" t="s">
        <v>1532</v>
      </c>
      <c r="D687" t="s">
        <v>1533</v>
      </c>
    </row>
    <row r="688" spans="1:14">
      <c r="A688" t="s">
        <v>1534</v>
      </c>
    </row>
    <row r="689" spans="1:6">
      <c r="A689" t="s">
        <v>1535</v>
      </c>
      <c r="B689" t="s">
        <v>1536</v>
      </c>
      <c r="C689" t="s">
        <v>1537</v>
      </c>
    </row>
    <row r="690" spans="1:6">
      <c r="A690" t="s">
        <v>1538</v>
      </c>
    </row>
    <row r="691" spans="1:6">
      <c r="A691" t="s">
        <v>1539</v>
      </c>
    </row>
    <row r="692" spans="1:6">
      <c r="A692" t="s">
        <v>1540</v>
      </c>
      <c r="B692" t="s">
        <v>1541</v>
      </c>
      <c r="C692" t="s">
        <v>1542</v>
      </c>
      <c r="D692" t="s">
        <v>1543</v>
      </c>
    </row>
    <row r="693" spans="1:6">
      <c r="A693" t="s">
        <v>1544</v>
      </c>
      <c r="B693" t="s">
        <v>1545</v>
      </c>
      <c r="C693" t="s">
        <v>1546</v>
      </c>
      <c r="D693" t="s">
        <v>1547</v>
      </c>
      <c r="E693" t="s">
        <v>1548</v>
      </c>
      <c r="F693" t="s">
        <v>1549</v>
      </c>
    </row>
    <row r="694" spans="1:6">
      <c r="A694" t="s">
        <v>1550</v>
      </c>
    </row>
    <row r="695" spans="1:6">
      <c r="A695" t="s">
        <v>1551</v>
      </c>
      <c r="B695" t="s">
        <v>1552</v>
      </c>
    </row>
    <row r="696" spans="1:6">
      <c r="A696" t="s">
        <v>1553</v>
      </c>
    </row>
    <row r="697" spans="1:6">
      <c r="A697" t="s">
        <v>1554</v>
      </c>
      <c r="B697" t="s">
        <v>1555</v>
      </c>
    </row>
    <row r="698" spans="1:6">
      <c r="A698" t="s">
        <v>1556</v>
      </c>
      <c r="B698" t="s">
        <v>1557</v>
      </c>
    </row>
    <row r="699" spans="1:6">
      <c r="A699" t="s">
        <v>1558</v>
      </c>
      <c r="B699" t="s">
        <v>1559</v>
      </c>
    </row>
    <row r="700" spans="1:6">
      <c r="A700" t="s">
        <v>1560</v>
      </c>
    </row>
    <row r="701" spans="1:6">
      <c r="A701" t="s">
        <v>1561</v>
      </c>
    </row>
    <row r="702" spans="1:6">
      <c r="A702" t="s">
        <v>1562</v>
      </c>
    </row>
    <row r="703" spans="1:6">
      <c r="A703" t="s">
        <v>1563</v>
      </c>
      <c r="B703" t="s">
        <v>1564</v>
      </c>
    </row>
    <row r="704" spans="1:6">
      <c r="A704" t="s">
        <v>1565</v>
      </c>
    </row>
    <row r="705" spans="1:4">
      <c r="A705" t="s">
        <v>1566</v>
      </c>
    </row>
    <row r="706" spans="1:4">
      <c r="A706" t="s">
        <v>1567</v>
      </c>
      <c r="B706" t="s">
        <v>1568</v>
      </c>
      <c r="C706" t="s">
        <v>1569</v>
      </c>
    </row>
    <row r="707" spans="1:4">
      <c r="A707" t="s">
        <v>1570</v>
      </c>
      <c r="B707" t="s">
        <v>1571</v>
      </c>
    </row>
    <row r="708" spans="1:4">
      <c r="A708" t="s">
        <v>1572</v>
      </c>
    </row>
    <row r="709" spans="1:4">
      <c r="A709" t="s">
        <v>1573</v>
      </c>
    </row>
    <row r="710" spans="1:4">
      <c r="A710" t="s">
        <v>1574</v>
      </c>
      <c r="B710" t="s">
        <v>1575</v>
      </c>
      <c r="C710" t="s">
        <v>1576</v>
      </c>
      <c r="D710" t="s">
        <v>1577</v>
      </c>
    </row>
    <row r="711" spans="1:4">
      <c r="A711" t="s">
        <v>1578</v>
      </c>
      <c r="B711" t="s">
        <v>1579</v>
      </c>
    </row>
    <row r="712" spans="1:4">
      <c r="A712" t="s">
        <v>1580</v>
      </c>
      <c r="B712" t="s">
        <v>1581</v>
      </c>
    </row>
    <row r="713" spans="1:4">
      <c r="A713" t="s">
        <v>1582</v>
      </c>
    </row>
    <row r="714" spans="1:4">
      <c r="A714" t="s">
        <v>1583</v>
      </c>
      <c r="B714" t="s">
        <v>1584</v>
      </c>
      <c r="C714" t="s">
        <v>1585</v>
      </c>
    </row>
    <row r="715" spans="1:4">
      <c r="A715" t="s">
        <v>1586</v>
      </c>
    </row>
    <row r="716" spans="1:4">
      <c r="A716" t="s">
        <v>1587</v>
      </c>
      <c r="B716" t="s">
        <v>1588</v>
      </c>
    </row>
    <row r="717" spans="1:4">
      <c r="A717" t="s">
        <v>1589</v>
      </c>
      <c r="B717" t="s">
        <v>1590</v>
      </c>
      <c r="C717" t="s">
        <v>1591</v>
      </c>
      <c r="D717" t="s">
        <v>1592</v>
      </c>
    </row>
    <row r="718" spans="1:4">
      <c r="A718" t="s">
        <v>1593</v>
      </c>
    </row>
    <row r="719" spans="1:4">
      <c r="A719" t="s">
        <v>1594</v>
      </c>
      <c r="B719" t="s">
        <v>1595</v>
      </c>
      <c r="C719">
        <v>1</v>
      </c>
      <c r="D719" t="s">
        <v>1596</v>
      </c>
    </row>
    <row r="720" spans="1:4">
      <c r="A720" t="s">
        <v>1597</v>
      </c>
      <c r="B720" t="s">
        <v>1598</v>
      </c>
      <c r="C720" t="s">
        <v>1599</v>
      </c>
    </row>
    <row r="721" spans="1:2">
      <c r="A721" t="s">
        <v>1600</v>
      </c>
    </row>
    <row r="722" spans="1:2">
      <c r="A722" t="s">
        <v>1601</v>
      </c>
      <c r="B722" t="s">
        <v>1602</v>
      </c>
    </row>
    <row r="723" spans="1:2">
      <c r="A723" t="s">
        <v>1603</v>
      </c>
    </row>
    <row r="724" spans="1:2">
      <c r="A724" t="s">
        <v>1604</v>
      </c>
    </row>
    <row r="725" spans="1:2">
      <c r="A725" t="s">
        <v>1605</v>
      </c>
    </row>
    <row r="726" spans="1:2">
      <c r="A726" t="s">
        <v>1606</v>
      </c>
      <c r="B726" t="s">
        <v>1607</v>
      </c>
    </row>
    <row r="727" spans="1:2">
      <c r="A727" t="s">
        <v>1608</v>
      </c>
    </row>
    <row r="728" spans="1:2">
      <c r="A728" t="s">
        <v>1609</v>
      </c>
    </row>
    <row r="729" spans="1:2">
      <c r="A729" t="s">
        <v>1610</v>
      </c>
    </row>
    <row r="730" spans="1:2">
      <c r="A730" t="s">
        <v>1611</v>
      </c>
    </row>
    <row r="731" spans="1:2">
      <c r="A731" t="s">
        <v>1612</v>
      </c>
      <c r="B731" t="s">
        <v>1613</v>
      </c>
    </row>
    <row r="732" spans="1:2">
      <c r="A732" t="s">
        <v>1614</v>
      </c>
    </row>
    <row r="733" spans="1:2">
      <c r="A733" t="s">
        <v>1615</v>
      </c>
    </row>
    <row r="734" spans="1:2">
      <c r="A734" t="s">
        <v>1616</v>
      </c>
    </row>
    <row r="735" spans="1:2">
      <c r="A735" t="s">
        <v>1617</v>
      </c>
      <c r="B735" t="s">
        <v>1618</v>
      </c>
    </row>
    <row r="736" spans="1:2">
      <c r="A736" t="s">
        <v>1619</v>
      </c>
      <c r="B736" t="s">
        <v>1620</v>
      </c>
    </row>
    <row r="737" spans="1:2">
      <c r="A737" t="s">
        <v>1621</v>
      </c>
    </row>
    <row r="738" spans="1:2">
      <c r="A738" t="s">
        <v>1622</v>
      </c>
    </row>
    <row r="739" spans="1:2">
      <c r="A739" t="s">
        <v>1623</v>
      </c>
      <c r="B739" t="s">
        <v>1624</v>
      </c>
    </row>
    <row r="740" spans="1:2">
      <c r="A740" t="s">
        <v>1625</v>
      </c>
    </row>
    <row r="741" spans="1:2">
      <c r="A741" t="s">
        <v>1626</v>
      </c>
    </row>
    <row r="742" spans="1:2">
      <c r="A742" t="s">
        <v>1627</v>
      </c>
    </row>
    <row r="743" spans="1:2">
      <c r="A743" t="s">
        <v>1628</v>
      </c>
    </row>
    <row r="744" spans="1:2">
      <c r="A744" t="s">
        <v>1629</v>
      </c>
    </row>
    <row r="745" spans="1:2">
      <c r="A745" t="s">
        <v>1630</v>
      </c>
    </row>
    <row r="746" spans="1:2">
      <c r="A746" t="s">
        <v>1631</v>
      </c>
    </row>
    <row r="747" spans="1:2">
      <c r="A747" t="s">
        <v>1632</v>
      </c>
    </row>
    <row r="748" spans="1:2">
      <c r="A748" t="s">
        <v>1633</v>
      </c>
    </row>
    <row r="749" spans="1:2">
      <c r="A749" t="s">
        <v>1634</v>
      </c>
    </row>
    <row r="750" spans="1:2">
      <c r="A750" t="s">
        <v>1635</v>
      </c>
    </row>
    <row r="751" spans="1:2">
      <c r="A751" t="s">
        <v>1636</v>
      </c>
    </row>
    <row r="752" spans="1:2">
      <c r="A752" t="s">
        <v>1637</v>
      </c>
    </row>
    <row r="753" spans="1:5">
      <c r="A753" t="s">
        <v>1638</v>
      </c>
      <c r="B753" t="s">
        <v>1639</v>
      </c>
    </row>
    <row r="754" spans="1:5">
      <c r="A754" t="s">
        <v>1640</v>
      </c>
    </row>
    <row r="755" spans="1:5">
      <c r="A755" t="s">
        <v>1641</v>
      </c>
    </row>
    <row r="756" spans="1:5">
      <c r="A756" t="s">
        <v>1642</v>
      </c>
    </row>
    <row r="757" spans="1:5">
      <c r="A757" t="s">
        <v>1643</v>
      </c>
      <c r="B757" t="s">
        <v>1644</v>
      </c>
      <c r="C757" t="s">
        <v>1645</v>
      </c>
    </row>
    <row r="758" spans="1:5">
      <c r="A758" t="s">
        <v>1646</v>
      </c>
    </row>
    <row r="759" spans="1:5">
      <c r="A759" t="s">
        <v>1647</v>
      </c>
    </row>
    <row r="760" spans="1:5">
      <c r="A760" t="s">
        <v>1648</v>
      </c>
    </row>
    <row r="761" spans="1:5">
      <c r="A761" t="s">
        <v>1649</v>
      </c>
    </row>
    <row r="762" spans="1:5">
      <c r="A762" t="s">
        <v>1650</v>
      </c>
    </row>
    <row r="763" spans="1:5">
      <c r="A763" t="s">
        <v>1651</v>
      </c>
    </row>
    <row r="764" spans="1:5">
      <c r="A764" t="s">
        <v>1652</v>
      </c>
    </row>
    <row r="765" spans="1:5">
      <c r="A765" t="s">
        <v>1653</v>
      </c>
      <c r="B765" t="s">
        <v>693</v>
      </c>
      <c r="C765" t="s">
        <v>694</v>
      </c>
    </row>
    <row r="766" spans="1:5">
      <c r="A766" t="s">
        <v>1654</v>
      </c>
      <c r="B766" t="s">
        <v>1655</v>
      </c>
      <c r="C766" t="s">
        <v>1656</v>
      </c>
      <c r="D766" t="s">
        <v>1657</v>
      </c>
      <c r="E766" t="s">
        <v>1658</v>
      </c>
    </row>
    <row r="767" spans="1:5">
      <c r="A767" t="s">
        <v>1659</v>
      </c>
    </row>
    <row r="768" spans="1:5">
      <c r="A768" t="s">
        <v>1660</v>
      </c>
      <c r="B768" t="s">
        <v>1661</v>
      </c>
      <c r="C768" t="s">
        <v>1662</v>
      </c>
      <c r="D768" t="s">
        <v>1663</v>
      </c>
    </row>
    <row r="769" spans="1:5">
      <c r="A769" t="s">
        <v>1664</v>
      </c>
    </row>
    <row r="770" spans="1:5">
      <c r="A770" t="s">
        <v>1665</v>
      </c>
      <c r="B770" t="s">
        <v>1666</v>
      </c>
      <c r="C770" t="s">
        <v>1667</v>
      </c>
      <c r="D770" t="s">
        <v>1668</v>
      </c>
    </row>
    <row r="771" spans="1:5">
      <c r="A771" t="s">
        <v>1669</v>
      </c>
    </row>
    <row r="772" spans="1:5">
      <c r="A772" t="s">
        <v>1670</v>
      </c>
    </row>
    <row r="773" spans="1:5">
      <c r="A773" t="s">
        <v>1671</v>
      </c>
      <c r="B773" t="s">
        <v>1672</v>
      </c>
      <c r="C773" t="s">
        <v>1673</v>
      </c>
      <c r="D773" t="s">
        <v>1674</v>
      </c>
      <c r="E773" t="s">
        <v>1675</v>
      </c>
    </row>
    <row r="774" spans="1:5">
      <c r="A774" t="s">
        <v>1676</v>
      </c>
    </row>
    <row r="775" spans="1:5">
      <c r="A775" t="s">
        <v>1677</v>
      </c>
    </row>
    <row r="776" spans="1:5">
      <c r="A776" t="s">
        <v>1678</v>
      </c>
    </row>
    <row r="777" spans="1:5">
      <c r="A777" t="s">
        <v>1679</v>
      </c>
      <c r="B777" t="s">
        <v>1680</v>
      </c>
      <c r="C777" t="s">
        <v>1681</v>
      </c>
      <c r="D777" t="s">
        <v>1682</v>
      </c>
    </row>
    <row r="778" spans="1:5">
      <c r="A778" t="s">
        <v>1683</v>
      </c>
      <c r="B778" t="s">
        <v>1684</v>
      </c>
    </row>
    <row r="779" spans="1:5">
      <c r="A779" t="s">
        <v>1685</v>
      </c>
      <c r="B779" t="s">
        <v>1686</v>
      </c>
      <c r="C779" t="s">
        <v>1687</v>
      </c>
    </row>
    <row r="780" spans="1:5">
      <c r="A780" t="s">
        <v>1688</v>
      </c>
    </row>
    <row r="781" spans="1:5">
      <c r="A781" t="s">
        <v>1689</v>
      </c>
    </row>
    <row r="782" spans="1:5">
      <c r="A782" t="s">
        <v>1690</v>
      </c>
      <c r="B782" t="s">
        <v>1691</v>
      </c>
      <c r="C782" t="s">
        <v>1692</v>
      </c>
      <c r="D782" t="s">
        <v>1693</v>
      </c>
    </row>
    <row r="783" spans="1:5">
      <c r="A783" t="s">
        <v>1694</v>
      </c>
      <c r="B783" t="s">
        <v>1695</v>
      </c>
      <c r="C783" t="s">
        <v>1696</v>
      </c>
    </row>
    <row r="784" spans="1:5">
      <c r="A784" t="s">
        <v>1697</v>
      </c>
      <c r="B784" t="s">
        <v>1698</v>
      </c>
    </row>
    <row r="785" spans="1:6">
      <c r="A785" t="s">
        <v>1699</v>
      </c>
    </row>
    <row r="786" spans="1:6">
      <c r="A786" t="s">
        <v>1700</v>
      </c>
    </row>
    <row r="787" spans="1:6">
      <c r="A787" t="s">
        <v>1701</v>
      </c>
      <c r="B787" t="s">
        <v>1702</v>
      </c>
      <c r="C787" t="s">
        <v>1703</v>
      </c>
      <c r="D787" t="s">
        <v>1704</v>
      </c>
      <c r="E787" t="s">
        <v>1705</v>
      </c>
      <c r="F787" t="s">
        <v>1706</v>
      </c>
    </row>
    <row r="788" spans="1:6">
      <c r="A788" t="s">
        <v>1707</v>
      </c>
    </row>
    <row r="789" spans="1:6">
      <c r="A789" t="s">
        <v>1708</v>
      </c>
      <c r="B789" t="s">
        <v>1709</v>
      </c>
    </row>
    <row r="790" spans="1:6">
      <c r="A790" t="s">
        <v>1710</v>
      </c>
      <c r="B790" t="s">
        <v>1711</v>
      </c>
    </row>
    <row r="791" spans="1:6">
      <c r="A791" t="s">
        <v>1712</v>
      </c>
      <c r="B791" t="s">
        <v>1713</v>
      </c>
    </row>
    <row r="792" spans="1:6">
      <c r="A792" t="s">
        <v>1714</v>
      </c>
      <c r="B792" t="s">
        <v>1715</v>
      </c>
    </row>
    <row r="793" spans="1:6">
      <c r="A793" t="s">
        <v>1716</v>
      </c>
    </row>
    <row r="794" spans="1:6">
      <c r="A794" t="s">
        <v>1717</v>
      </c>
    </row>
    <row r="795" spans="1:6">
      <c r="A795" t="s">
        <v>1718</v>
      </c>
      <c r="B795" t="s">
        <v>1719</v>
      </c>
      <c r="C795" t="s">
        <v>1720</v>
      </c>
      <c r="D795" t="s">
        <v>1721</v>
      </c>
    </row>
    <row r="796" spans="1:6">
      <c r="A796" t="s">
        <v>1722</v>
      </c>
      <c r="B796" t="s">
        <v>1723</v>
      </c>
    </row>
    <row r="797" spans="1:6">
      <c r="A797" t="s">
        <v>1724</v>
      </c>
    </row>
    <row r="798" spans="1:6">
      <c r="A798" t="s">
        <v>1725</v>
      </c>
      <c r="B798" t="s">
        <v>1726</v>
      </c>
      <c r="C798" t="s">
        <v>1727</v>
      </c>
      <c r="D798" t="s">
        <v>1728</v>
      </c>
    </row>
    <row r="799" spans="1:6">
      <c r="A799" t="s">
        <v>1729</v>
      </c>
    </row>
    <row r="800" spans="1:6">
      <c r="A800" t="s">
        <v>1730</v>
      </c>
      <c r="B800" t="s">
        <v>1731</v>
      </c>
      <c r="C800" t="s">
        <v>1732</v>
      </c>
    </row>
    <row r="801" spans="1:6">
      <c r="A801" t="s">
        <v>1733</v>
      </c>
      <c r="B801" t="s">
        <v>1734</v>
      </c>
      <c r="C801" t="s">
        <v>1735</v>
      </c>
      <c r="D801" t="s">
        <v>1736</v>
      </c>
    </row>
    <row r="802" spans="1:6">
      <c r="A802" t="s">
        <v>1737</v>
      </c>
    </row>
    <row r="803" spans="1:6">
      <c r="A803" t="s">
        <v>1738</v>
      </c>
    </row>
    <row r="804" spans="1:6">
      <c r="A804" t="s">
        <v>1739</v>
      </c>
      <c r="B804" t="s">
        <v>1740</v>
      </c>
      <c r="C804" t="s">
        <v>1741</v>
      </c>
      <c r="D804" t="s">
        <v>1742</v>
      </c>
    </row>
    <row r="805" spans="1:6">
      <c r="A805" t="s">
        <v>1743</v>
      </c>
      <c r="B805" t="s">
        <v>1744</v>
      </c>
      <c r="C805" t="s">
        <v>1745</v>
      </c>
      <c r="D805" t="s">
        <v>1746</v>
      </c>
    </row>
    <row r="806" spans="1:6">
      <c r="A806" t="s">
        <v>1747</v>
      </c>
    </row>
    <row r="807" spans="1:6">
      <c r="A807" t="s">
        <v>1748</v>
      </c>
      <c r="B807" t="s">
        <v>1749</v>
      </c>
    </row>
    <row r="808" spans="1:6">
      <c r="A808" t="s">
        <v>1750</v>
      </c>
      <c r="B808" t="s">
        <v>1751</v>
      </c>
    </row>
    <row r="809" spans="1:6">
      <c r="A809" t="s">
        <v>1730</v>
      </c>
      <c r="B809" t="s">
        <v>1752</v>
      </c>
    </row>
    <row r="810" spans="1:6">
      <c r="A810" t="s">
        <v>1753</v>
      </c>
      <c r="B810" t="s">
        <v>1754</v>
      </c>
      <c r="C810" t="s">
        <v>1755</v>
      </c>
    </row>
    <row r="811" spans="1:6">
      <c r="A811" t="s">
        <v>1756</v>
      </c>
    </row>
    <row r="812" spans="1:6">
      <c r="A812" t="s">
        <v>1757</v>
      </c>
    </row>
    <row r="813" spans="1:6">
      <c r="A813" t="s">
        <v>1758</v>
      </c>
      <c r="B813" t="s">
        <v>1759</v>
      </c>
      <c r="C813" t="s">
        <v>1760</v>
      </c>
      <c r="D813" t="s">
        <v>1761</v>
      </c>
      <c r="E813" t="s">
        <v>1762</v>
      </c>
      <c r="F813" t="s">
        <v>1763</v>
      </c>
    </row>
    <row r="814" spans="1:6">
      <c r="A814" t="s">
        <v>1764</v>
      </c>
    </row>
    <row r="815" spans="1:6">
      <c r="A815" t="s">
        <v>1765</v>
      </c>
    </row>
    <row r="816" spans="1:6">
      <c r="A816" t="s">
        <v>1766</v>
      </c>
      <c r="B816" t="s">
        <v>1767</v>
      </c>
      <c r="C816" t="s">
        <v>1768</v>
      </c>
      <c r="D816" t="s">
        <v>1769</v>
      </c>
    </row>
    <row r="817" spans="1:4">
      <c r="A817" t="s">
        <v>1730</v>
      </c>
      <c r="B817" t="s">
        <v>1770</v>
      </c>
    </row>
    <row r="818" spans="1:4">
      <c r="A818" t="s">
        <v>1771</v>
      </c>
      <c r="B818" t="s">
        <v>1772</v>
      </c>
    </row>
    <row r="819" spans="1:4">
      <c r="A819" t="s">
        <v>1773</v>
      </c>
    </row>
    <row r="820" spans="1:4">
      <c r="A820" t="s">
        <v>1774</v>
      </c>
    </row>
    <row r="821" spans="1:4">
      <c r="A821" t="s">
        <v>1775</v>
      </c>
      <c r="B821" t="s">
        <v>1776</v>
      </c>
      <c r="C821" t="s">
        <v>1777</v>
      </c>
      <c r="D821" t="s">
        <v>1778</v>
      </c>
    </row>
    <row r="822" spans="1:4">
      <c r="A822" t="s">
        <v>1779</v>
      </c>
    </row>
    <row r="823" spans="1:4">
      <c r="A823" t="s">
        <v>1780</v>
      </c>
      <c r="B823" t="s">
        <v>1781</v>
      </c>
      <c r="C823" t="s">
        <v>1782</v>
      </c>
    </row>
    <row r="824" spans="1:4">
      <c r="A824" t="s">
        <v>1783</v>
      </c>
    </row>
    <row r="825" spans="1:4">
      <c r="A825" t="s">
        <v>1784</v>
      </c>
      <c r="B825" t="s">
        <v>1785</v>
      </c>
      <c r="C825" t="s">
        <v>1786</v>
      </c>
      <c r="D825" t="s">
        <v>1787</v>
      </c>
    </row>
    <row r="826" spans="1:4">
      <c r="A826" t="s">
        <v>1788</v>
      </c>
    </row>
    <row r="827" spans="1:4">
      <c r="A827" t="s">
        <v>1789</v>
      </c>
    </row>
    <row r="828" spans="1:4">
      <c r="A828" t="s">
        <v>1790</v>
      </c>
    </row>
    <row r="829" spans="1:4">
      <c r="A829" t="s">
        <v>1788</v>
      </c>
    </row>
    <row r="830" spans="1:4">
      <c r="A830" t="s">
        <v>1791</v>
      </c>
    </row>
    <row r="831" spans="1:4">
      <c r="A831" t="s">
        <v>1790</v>
      </c>
    </row>
    <row r="832" spans="1:4">
      <c r="A832" t="s">
        <v>1788</v>
      </c>
    </row>
    <row r="833" spans="1:1">
      <c r="A833" t="s">
        <v>1792</v>
      </c>
    </row>
    <row r="834" spans="1:1">
      <c r="A834" t="s">
        <v>1790</v>
      </c>
    </row>
    <row r="835" spans="1:1">
      <c r="A835" t="s">
        <v>1788</v>
      </c>
    </row>
    <row r="836" spans="1:1">
      <c r="A836" t="s">
        <v>1793</v>
      </c>
    </row>
    <row r="837" spans="1:1">
      <c r="A837" t="s">
        <v>1790</v>
      </c>
    </row>
    <row r="838" spans="1:1">
      <c r="A838" t="s">
        <v>1788</v>
      </c>
    </row>
    <row r="839" spans="1:1">
      <c r="A839" t="s">
        <v>1794</v>
      </c>
    </row>
    <row r="840" spans="1:1">
      <c r="A840" t="s">
        <v>1790</v>
      </c>
    </row>
    <row r="841" spans="1:1">
      <c r="A841" t="s">
        <v>1788</v>
      </c>
    </row>
    <row r="842" spans="1:1">
      <c r="A842" t="s">
        <v>1795</v>
      </c>
    </row>
    <row r="843" spans="1:1">
      <c r="A843" t="s">
        <v>1790</v>
      </c>
    </row>
    <row r="844" spans="1:1">
      <c r="A844" t="s">
        <v>1788</v>
      </c>
    </row>
    <row r="845" spans="1:1">
      <c r="A845" t="s">
        <v>1796</v>
      </c>
    </row>
    <row r="846" spans="1:1">
      <c r="A846" t="s">
        <v>1790</v>
      </c>
    </row>
    <row r="847" spans="1:1">
      <c r="A847" t="s">
        <v>1788</v>
      </c>
    </row>
    <row r="848" spans="1:1">
      <c r="A848" t="s">
        <v>1797</v>
      </c>
    </row>
    <row r="849" spans="1:2">
      <c r="A849" t="s">
        <v>1790</v>
      </c>
    </row>
    <row r="850" spans="1:2">
      <c r="A850" t="s">
        <v>1788</v>
      </c>
    </row>
    <row r="851" spans="1:2">
      <c r="A851" t="s">
        <v>1798</v>
      </c>
    </row>
    <row r="852" spans="1:2">
      <c r="A852" t="s">
        <v>1790</v>
      </c>
    </row>
    <row r="853" spans="1:2">
      <c r="A853" t="s">
        <v>1788</v>
      </c>
    </row>
    <row r="854" spans="1:2">
      <c r="A854" t="s">
        <v>1799</v>
      </c>
    </row>
    <row r="855" spans="1:2">
      <c r="A855" t="s">
        <v>1790</v>
      </c>
    </row>
    <row r="856" spans="1:2">
      <c r="A856" t="s">
        <v>1788</v>
      </c>
    </row>
    <row r="857" spans="1:2">
      <c r="A857" t="s">
        <v>1800</v>
      </c>
    </row>
    <row r="858" spans="1:2">
      <c r="A858" t="s">
        <v>1790</v>
      </c>
    </row>
    <row r="859" spans="1:2">
      <c r="A859" t="s">
        <v>1788</v>
      </c>
    </row>
    <row r="860" spans="1:2">
      <c r="A860" t="s">
        <v>1801</v>
      </c>
      <c r="B860" t="s">
        <v>1802</v>
      </c>
    </row>
    <row r="861" spans="1:2">
      <c r="A861" t="s">
        <v>1790</v>
      </c>
    </row>
    <row r="862" spans="1:2">
      <c r="A862" t="s">
        <v>1788</v>
      </c>
    </row>
    <row r="863" spans="1:2">
      <c r="A863" t="s">
        <v>1803</v>
      </c>
    </row>
    <row r="864" spans="1:2">
      <c r="A864" t="s">
        <v>1790</v>
      </c>
    </row>
    <row r="865" spans="1:1">
      <c r="A865" t="s">
        <v>1788</v>
      </c>
    </row>
    <row r="866" spans="1:1">
      <c r="A866" t="s">
        <v>1804</v>
      </c>
    </row>
    <row r="867" spans="1:1">
      <c r="A867" t="s">
        <v>1790</v>
      </c>
    </row>
    <row r="868" spans="1:1">
      <c r="A868" t="s">
        <v>1788</v>
      </c>
    </row>
    <row r="869" spans="1:1">
      <c r="A869" t="s">
        <v>1805</v>
      </c>
    </row>
    <row r="870" spans="1:1">
      <c r="A870" t="s">
        <v>1790</v>
      </c>
    </row>
    <row r="871" spans="1:1">
      <c r="A871" t="s">
        <v>1788</v>
      </c>
    </row>
    <row r="872" spans="1:1">
      <c r="A872" t="s">
        <v>1806</v>
      </c>
    </row>
    <row r="873" spans="1:1">
      <c r="A873" t="s">
        <v>1790</v>
      </c>
    </row>
    <row r="874" spans="1:1">
      <c r="A874" t="s">
        <v>1788</v>
      </c>
    </row>
    <row r="875" spans="1:1">
      <c r="A875" t="s">
        <v>1807</v>
      </c>
    </row>
    <row r="876" spans="1:1">
      <c r="A876" t="s">
        <v>1790</v>
      </c>
    </row>
    <row r="877" spans="1:1">
      <c r="A877" t="s">
        <v>1788</v>
      </c>
    </row>
    <row r="878" spans="1:1">
      <c r="A878" t="s">
        <v>1808</v>
      </c>
    </row>
    <row r="879" spans="1:1">
      <c r="A879" t="s">
        <v>1790</v>
      </c>
    </row>
    <row r="880" spans="1:1">
      <c r="A880" t="s">
        <v>1788</v>
      </c>
    </row>
    <row r="881" spans="1:20">
      <c r="A881" t="s">
        <v>1809</v>
      </c>
    </row>
    <row r="882" spans="1:20">
      <c r="A882" t="s">
        <v>1810</v>
      </c>
      <c r="C882">
        <v>20251027</v>
      </c>
      <c r="D882">
        <v>109</v>
      </c>
      <c r="E882">
        <v>0</v>
      </c>
      <c r="F882" t="s">
        <v>1811</v>
      </c>
      <c r="K882" t="s">
        <v>1812</v>
      </c>
      <c r="N882" s="2">
        <v>45964.258067129631</v>
      </c>
    </row>
    <row r="883" spans="1:20" ht="409.6">
      <c r="A883" t="s">
        <v>20</v>
      </c>
      <c r="B883" t="s">
        <v>1813</v>
      </c>
      <c r="C883" t="s">
        <v>1814</v>
      </c>
      <c r="D883" t="s">
        <v>1815</v>
      </c>
      <c r="E883" t="s">
        <v>1816</v>
      </c>
      <c r="F883" t="s">
        <v>1817</v>
      </c>
      <c r="G883" s="1" t="s">
        <v>1818</v>
      </c>
      <c r="I883">
        <v>20251026</v>
      </c>
      <c r="J883">
        <v>35</v>
      </c>
      <c r="K883">
        <v>0</v>
      </c>
      <c r="L883" t="s">
        <v>1819</v>
      </c>
      <c r="Q883" t="s">
        <v>1820</v>
      </c>
      <c r="T883" s="2">
        <v>45964.258067129631</v>
      </c>
    </row>
    <row r="884" spans="1:20" ht="409.6">
      <c r="A884" t="s">
        <v>20</v>
      </c>
      <c r="B884" t="s">
        <v>1821</v>
      </c>
      <c r="C884" t="s">
        <v>1822</v>
      </c>
      <c r="D884" t="s">
        <v>1823</v>
      </c>
      <c r="E884" t="s">
        <v>1824</v>
      </c>
      <c r="F884" t="s">
        <v>1825</v>
      </c>
      <c r="G884" s="1" t="s">
        <v>1826</v>
      </c>
      <c r="I884">
        <v>20251102</v>
      </c>
      <c r="J884">
        <v>10</v>
      </c>
      <c r="K884">
        <v>0</v>
      </c>
      <c r="L884" t="s">
        <v>1827</v>
      </c>
      <c r="T884" s="2">
        <v>45964.258067129631</v>
      </c>
    </row>
    <row r="885" spans="1:20" ht="409.6">
      <c r="A885" t="s">
        <v>20</v>
      </c>
      <c r="B885" t="s">
        <v>1828</v>
      </c>
      <c r="C885" t="s">
        <v>1829</v>
      </c>
      <c r="D885" t="s">
        <v>1830</v>
      </c>
      <c r="E885" t="s">
        <v>1831</v>
      </c>
      <c r="F885" t="s">
        <v>1832</v>
      </c>
      <c r="G885" s="1" t="s">
        <v>1833</v>
      </c>
      <c r="I885">
        <v>20251102</v>
      </c>
      <c r="J885">
        <v>10</v>
      </c>
      <c r="K885">
        <v>0</v>
      </c>
      <c r="L885" t="s">
        <v>1834</v>
      </c>
      <c r="T885" s="2">
        <v>45964.258067129631</v>
      </c>
    </row>
    <row r="886" spans="1:20" ht="409.6">
      <c r="A886" t="s">
        <v>20</v>
      </c>
      <c r="B886" t="s">
        <v>1835</v>
      </c>
      <c r="C886" t="s">
        <v>1836</v>
      </c>
      <c r="D886" t="s">
        <v>1837</v>
      </c>
      <c r="E886" t="s">
        <v>1838</v>
      </c>
      <c r="F886" t="s">
        <v>1839</v>
      </c>
      <c r="G886" s="1" t="s">
        <v>1840</v>
      </c>
      <c r="I886">
        <v>20251102</v>
      </c>
      <c r="J886">
        <v>10</v>
      </c>
      <c r="K886">
        <v>0</v>
      </c>
      <c r="L886" t="s">
        <v>1841</v>
      </c>
      <c r="T886" s="2">
        <v>45964.258067129631</v>
      </c>
    </row>
    <row r="887" spans="1:20" ht="409.6">
      <c r="A887" t="s">
        <v>20</v>
      </c>
      <c r="B887" t="s">
        <v>1842</v>
      </c>
      <c r="C887" t="s">
        <v>1843</v>
      </c>
      <c r="D887" t="s">
        <v>1844</v>
      </c>
      <c r="E887" t="s">
        <v>1845</v>
      </c>
      <c r="F887" t="s">
        <v>1846</v>
      </c>
      <c r="G887" s="1" t="s">
        <v>1847</v>
      </c>
      <c r="I887">
        <v>20251102</v>
      </c>
      <c r="J887">
        <v>10</v>
      </c>
      <c r="K887">
        <v>0</v>
      </c>
      <c r="L887" t="s">
        <v>1848</v>
      </c>
      <c r="T887" s="2">
        <v>45964.258067129631</v>
      </c>
    </row>
    <row r="888" spans="1:20" ht="409.6">
      <c r="A888" t="s">
        <v>20</v>
      </c>
      <c r="B888" t="s">
        <v>1849</v>
      </c>
      <c r="C888" t="s">
        <v>1850</v>
      </c>
      <c r="D888" t="s">
        <v>1851</v>
      </c>
      <c r="E888" t="s">
        <v>1852</v>
      </c>
      <c r="F888" t="s">
        <v>1853</v>
      </c>
      <c r="G888" s="1" t="s">
        <v>1854</v>
      </c>
      <c r="I888">
        <v>20251102</v>
      </c>
      <c r="J888">
        <v>10</v>
      </c>
      <c r="K888">
        <v>0</v>
      </c>
      <c r="L888" t="s">
        <v>1855</v>
      </c>
      <c r="T888" s="2">
        <v>45964.258067129631</v>
      </c>
    </row>
    <row r="889" spans="1:20" ht="409.6">
      <c r="A889" t="s">
        <v>20</v>
      </c>
      <c r="B889" t="s">
        <v>1856</v>
      </c>
      <c r="C889" t="s">
        <v>1857</v>
      </c>
      <c r="D889" t="s">
        <v>1858</v>
      </c>
      <c r="E889" t="s">
        <v>1859</v>
      </c>
      <c r="F889" t="s">
        <v>1860</v>
      </c>
      <c r="G889" s="1" t="s">
        <v>1861</v>
      </c>
      <c r="H889" t="s">
        <v>1862</v>
      </c>
      <c r="I889">
        <v>20251102</v>
      </c>
      <c r="J889">
        <v>2</v>
      </c>
      <c r="K889">
        <v>0</v>
      </c>
      <c r="L889" t="s">
        <v>1863</v>
      </c>
      <c r="T889" s="2">
        <v>45964.258067129631</v>
      </c>
    </row>
    <row r="890" spans="1:20" ht="409.6">
      <c r="A890" t="s">
        <v>20</v>
      </c>
      <c r="B890" t="s">
        <v>1864</v>
      </c>
      <c r="C890" t="s">
        <v>1865</v>
      </c>
      <c r="D890" t="s">
        <v>1866</v>
      </c>
      <c r="E890" t="s">
        <v>1867</v>
      </c>
      <c r="F890" t="s">
        <v>1868</v>
      </c>
      <c r="G890" s="1" t="s">
        <v>1869</v>
      </c>
      <c r="I890">
        <v>20251102</v>
      </c>
      <c r="J890">
        <v>10</v>
      </c>
      <c r="K890">
        <v>0</v>
      </c>
      <c r="L890" t="s">
        <v>1870</v>
      </c>
      <c r="T890" s="2">
        <v>45964.258067129631</v>
      </c>
    </row>
    <row r="891" spans="1:20" ht="409.6">
      <c r="A891" t="s">
        <v>20</v>
      </c>
      <c r="B891" t="s">
        <v>1871</v>
      </c>
      <c r="C891" t="s">
        <v>1872</v>
      </c>
      <c r="D891" t="s">
        <v>1851</v>
      </c>
      <c r="E891" t="s">
        <v>1873</v>
      </c>
      <c r="F891" t="s">
        <v>1853</v>
      </c>
      <c r="G891" s="1" t="s">
        <v>1874</v>
      </c>
      <c r="I891">
        <v>20251102</v>
      </c>
      <c r="J891">
        <v>10</v>
      </c>
      <c r="K891">
        <v>0</v>
      </c>
      <c r="L891" t="s">
        <v>1875</v>
      </c>
      <c r="T891" s="2">
        <v>45964.258067129631</v>
      </c>
    </row>
    <row r="892" spans="1:20" ht="409.6">
      <c r="A892" t="s">
        <v>20</v>
      </c>
      <c r="B892" t="s">
        <v>1876</v>
      </c>
      <c r="C892" t="s">
        <v>1877</v>
      </c>
      <c r="D892" t="s">
        <v>1878</v>
      </c>
      <c r="E892" t="s">
        <v>1879</v>
      </c>
      <c r="F892" t="s">
        <v>1880</v>
      </c>
      <c r="G892" s="1" t="s">
        <v>1881</v>
      </c>
      <c r="I892">
        <v>20251102</v>
      </c>
      <c r="J892">
        <v>10</v>
      </c>
      <c r="K892">
        <v>0</v>
      </c>
      <c r="L892" t="s">
        <v>1882</v>
      </c>
      <c r="T892" s="2">
        <v>45964.258067129631</v>
      </c>
    </row>
    <row r="893" spans="1:20" ht="409.6">
      <c r="A893" t="s">
        <v>20</v>
      </c>
      <c r="B893" t="s">
        <v>1883</v>
      </c>
      <c r="C893" t="s">
        <v>1884</v>
      </c>
      <c r="D893" t="s">
        <v>1885</v>
      </c>
      <c r="E893" t="s">
        <v>1886</v>
      </c>
      <c r="F893" t="s">
        <v>1887</v>
      </c>
      <c r="G893" s="1" t="s">
        <v>1888</v>
      </c>
      <c r="I893">
        <v>20251102</v>
      </c>
      <c r="J893">
        <v>5</v>
      </c>
      <c r="K893">
        <v>0</v>
      </c>
      <c r="L893" t="s">
        <v>1889</v>
      </c>
      <c r="T893" s="2">
        <v>45964.258067129631</v>
      </c>
    </row>
    <row r="894" spans="1:20" ht="409.6">
      <c r="A894" t="s">
        <v>20</v>
      </c>
      <c r="B894" t="s">
        <v>1890</v>
      </c>
      <c r="C894" t="s">
        <v>1891</v>
      </c>
      <c r="D894" t="s">
        <v>1892</v>
      </c>
      <c r="E894" t="s">
        <v>1893</v>
      </c>
      <c r="F894" t="s">
        <v>1894</v>
      </c>
      <c r="G894" s="1" t="s">
        <v>1895</v>
      </c>
      <c r="I894">
        <v>20220203</v>
      </c>
      <c r="J894">
        <v>9</v>
      </c>
      <c r="K894">
        <v>0</v>
      </c>
      <c r="L894" t="s">
        <v>1896</v>
      </c>
      <c r="Q894" t="s">
        <v>83</v>
      </c>
      <c r="T894" s="2">
        <v>45964.258067129631</v>
      </c>
    </row>
    <row r="895" spans="1:20" ht="409.6">
      <c r="A895" t="s">
        <v>20</v>
      </c>
      <c r="B895" t="s">
        <v>1897</v>
      </c>
      <c r="C895" t="s">
        <v>1898</v>
      </c>
      <c r="D895" t="s">
        <v>1892</v>
      </c>
      <c r="E895" t="s">
        <v>1899</v>
      </c>
      <c r="F895" t="s">
        <v>1894</v>
      </c>
      <c r="G895" s="1" t="s">
        <v>1900</v>
      </c>
      <c r="I895">
        <v>20220110</v>
      </c>
      <c r="J895">
        <v>8</v>
      </c>
      <c r="K895">
        <v>0</v>
      </c>
      <c r="L895" t="s">
        <v>1901</v>
      </c>
      <c r="Q895" t="s">
        <v>83</v>
      </c>
      <c r="T895" s="2">
        <v>45964.258067129631</v>
      </c>
    </row>
    <row r="896" spans="1:20" ht="409.6">
      <c r="A896" t="s">
        <v>20</v>
      </c>
      <c r="B896" t="s">
        <v>1902</v>
      </c>
      <c r="C896" t="s">
        <v>1903</v>
      </c>
      <c r="D896" t="s">
        <v>1892</v>
      </c>
      <c r="E896" t="s">
        <v>1904</v>
      </c>
      <c r="F896" t="s">
        <v>1894</v>
      </c>
      <c r="G896" s="1" t="s">
        <v>1905</v>
      </c>
      <c r="I896">
        <v>20211228</v>
      </c>
      <c r="J896">
        <v>16</v>
      </c>
      <c r="K896">
        <v>0</v>
      </c>
      <c r="L896" t="s">
        <v>1906</v>
      </c>
      <c r="T896" s="2">
        <v>45964.258067129631</v>
      </c>
    </row>
    <row r="897" spans="1:20" ht="409.6">
      <c r="A897" t="s">
        <v>20</v>
      </c>
      <c r="B897" t="s">
        <v>1907</v>
      </c>
      <c r="C897" t="s">
        <v>1908</v>
      </c>
      <c r="D897" t="s">
        <v>1909</v>
      </c>
      <c r="E897" t="s">
        <v>1910</v>
      </c>
      <c r="F897" t="s">
        <v>1911</v>
      </c>
      <c r="G897" s="1" t="s">
        <v>1912</v>
      </c>
      <c r="I897">
        <v>20210914</v>
      </c>
      <c r="J897">
        <v>20</v>
      </c>
      <c r="K897">
        <v>0</v>
      </c>
      <c r="L897" t="s">
        <v>1913</v>
      </c>
      <c r="Q897" t="s">
        <v>1914</v>
      </c>
      <c r="R897" t="s">
        <v>1915</v>
      </c>
      <c r="T897" s="2">
        <v>45964.258067129631</v>
      </c>
    </row>
    <row r="898" spans="1:20" ht="409.6">
      <c r="A898" t="s">
        <v>20</v>
      </c>
      <c r="B898" t="s">
        <v>1916</v>
      </c>
      <c r="C898" t="s">
        <v>1917</v>
      </c>
      <c r="D898" t="s">
        <v>1918</v>
      </c>
      <c r="E898" t="s">
        <v>1919</v>
      </c>
      <c r="F898" t="s">
        <v>1920</v>
      </c>
      <c r="G898" s="1" t="s">
        <v>1921</v>
      </c>
      <c r="I898">
        <v>20251031</v>
      </c>
      <c r="J898">
        <v>3</v>
      </c>
      <c r="K898">
        <v>0</v>
      </c>
      <c r="L898" t="s">
        <v>1922</v>
      </c>
      <c r="T898" s="2">
        <v>45964.258067129631</v>
      </c>
    </row>
    <row r="899" spans="1:20" ht="409.6">
      <c r="A899" t="s">
        <v>20</v>
      </c>
      <c r="B899" t="s">
        <v>1923</v>
      </c>
      <c r="C899" t="s">
        <v>1924</v>
      </c>
      <c r="D899" t="s">
        <v>1925</v>
      </c>
      <c r="E899" t="s">
        <v>1926</v>
      </c>
      <c r="F899" t="s">
        <v>1927</v>
      </c>
      <c r="G899" s="1" t="s">
        <v>1928</v>
      </c>
      <c r="H899" t="s">
        <v>1929</v>
      </c>
      <c r="I899">
        <v>20251030</v>
      </c>
      <c r="J899">
        <v>27</v>
      </c>
      <c r="K899">
        <v>0</v>
      </c>
      <c r="L899" t="s">
        <v>1930</v>
      </c>
      <c r="Q899" t="s">
        <v>1931</v>
      </c>
      <c r="T899" s="2">
        <v>45964.258067129631</v>
      </c>
    </row>
    <row r="900" spans="1:20" ht="409.6">
      <c r="A900" t="s">
        <v>20</v>
      </c>
      <c r="B900" t="s">
        <v>1932</v>
      </c>
      <c r="C900" t="s">
        <v>1933</v>
      </c>
      <c r="D900" t="s">
        <v>1934</v>
      </c>
      <c r="E900" t="s">
        <v>1935</v>
      </c>
      <c r="F900" t="s">
        <v>1936</v>
      </c>
      <c r="G900" s="1" t="s">
        <v>1937</v>
      </c>
      <c r="I900">
        <v>20251027</v>
      </c>
      <c r="J900">
        <v>11</v>
      </c>
      <c r="K900">
        <v>0</v>
      </c>
      <c r="L900" t="s">
        <v>1938</v>
      </c>
      <c r="Q900" t="s">
        <v>253</v>
      </c>
      <c r="R900" t="s">
        <v>1939</v>
      </c>
      <c r="T900" s="2">
        <v>45964.258067129631</v>
      </c>
    </row>
    <row r="901" spans="1:20" ht="409.6">
      <c r="A901" t="s">
        <v>20</v>
      </c>
      <c r="B901" t="s">
        <v>1940</v>
      </c>
      <c r="C901" t="s">
        <v>1941</v>
      </c>
      <c r="D901" t="s">
        <v>1942</v>
      </c>
      <c r="E901" t="s">
        <v>1943</v>
      </c>
      <c r="F901" t="s">
        <v>1944</v>
      </c>
      <c r="G901" s="1" t="s">
        <v>1945</v>
      </c>
      <c r="I901">
        <v>20251024</v>
      </c>
      <c r="J901">
        <v>50</v>
      </c>
      <c r="K901">
        <v>0</v>
      </c>
      <c r="L901" t="s">
        <v>1946</v>
      </c>
      <c r="Q901" t="s">
        <v>61</v>
      </c>
      <c r="R901" t="s">
        <v>1947</v>
      </c>
      <c r="T901" s="2">
        <v>45964.258067129631</v>
      </c>
    </row>
    <row r="902" spans="1:20" ht="409.6">
      <c r="A902" t="s">
        <v>20</v>
      </c>
      <c r="B902" t="s">
        <v>1948</v>
      </c>
      <c r="C902" t="s">
        <v>1949</v>
      </c>
      <c r="D902" t="s">
        <v>1950</v>
      </c>
      <c r="E902" t="s">
        <v>1951</v>
      </c>
      <c r="F902" t="s">
        <v>1952</v>
      </c>
      <c r="G902" s="1" t="s">
        <v>1953</v>
      </c>
      <c r="I902">
        <v>20251023</v>
      </c>
      <c r="J902">
        <v>3</v>
      </c>
      <c r="K902">
        <v>0</v>
      </c>
      <c r="L902" t="s">
        <v>1954</v>
      </c>
      <c r="T902" s="2">
        <v>45964.258067129631</v>
      </c>
    </row>
    <row r="903" spans="1:20" ht="409.6">
      <c r="A903" t="s">
        <v>20</v>
      </c>
      <c r="B903" t="s">
        <v>1955</v>
      </c>
      <c r="C903" t="s">
        <v>1956</v>
      </c>
      <c r="D903" t="s">
        <v>1950</v>
      </c>
      <c r="E903" t="s">
        <v>1957</v>
      </c>
      <c r="F903" t="s">
        <v>1952</v>
      </c>
      <c r="G903" s="1" t="s">
        <v>1958</v>
      </c>
      <c r="I903">
        <v>20251022</v>
      </c>
      <c r="J903">
        <v>4</v>
      </c>
      <c r="K903">
        <v>0</v>
      </c>
      <c r="L903" t="s">
        <v>1959</v>
      </c>
      <c r="T903" s="2">
        <v>45964.258067129631</v>
      </c>
    </row>
    <row r="904" spans="1:20" ht="409.6">
      <c r="A904" t="s">
        <v>20</v>
      </c>
      <c r="B904" t="s">
        <v>1960</v>
      </c>
      <c r="C904" t="s">
        <v>1961</v>
      </c>
      <c r="D904" t="s">
        <v>1950</v>
      </c>
      <c r="E904" t="s">
        <v>1962</v>
      </c>
      <c r="F904" t="s">
        <v>1952</v>
      </c>
      <c r="G904" s="1" t="s">
        <v>1963</v>
      </c>
      <c r="I904">
        <v>20251022</v>
      </c>
      <c r="J904">
        <v>6</v>
      </c>
      <c r="K904">
        <v>0</v>
      </c>
      <c r="L904" t="s">
        <v>1964</v>
      </c>
      <c r="T904" s="2">
        <v>45964.258067129631</v>
      </c>
    </row>
    <row r="905" spans="1:20" ht="409.6">
      <c r="A905" t="s">
        <v>20</v>
      </c>
      <c r="B905" t="s">
        <v>1965</v>
      </c>
      <c r="C905" t="s">
        <v>1966</v>
      </c>
      <c r="D905" t="s">
        <v>1950</v>
      </c>
      <c r="E905" t="s">
        <v>1967</v>
      </c>
      <c r="F905" t="s">
        <v>1952</v>
      </c>
      <c r="G905" s="1" t="s">
        <v>1968</v>
      </c>
      <c r="I905">
        <v>20251020</v>
      </c>
      <c r="J905">
        <v>4</v>
      </c>
      <c r="K905">
        <v>0</v>
      </c>
      <c r="L905" t="s">
        <v>1969</v>
      </c>
      <c r="T905" s="2">
        <v>45964.258067129631</v>
      </c>
    </row>
    <row r="906" spans="1:20" ht="409.6">
      <c r="A906" t="s">
        <v>20</v>
      </c>
      <c r="B906" t="s">
        <v>1970</v>
      </c>
      <c r="C906" t="s">
        <v>1971</v>
      </c>
      <c r="D906" t="s">
        <v>1972</v>
      </c>
      <c r="E906" t="s">
        <v>1973</v>
      </c>
      <c r="F906" t="s">
        <v>1974</v>
      </c>
      <c r="G906" s="1" t="s">
        <v>1975</v>
      </c>
      <c r="I906">
        <v>20251014</v>
      </c>
      <c r="J906">
        <v>24</v>
      </c>
      <c r="K906">
        <v>0</v>
      </c>
      <c r="L906" t="s">
        <v>1976</v>
      </c>
      <c r="T906" s="2">
        <v>45964.258067129631</v>
      </c>
    </row>
    <row r="907" spans="1:20" ht="409.6">
      <c r="A907" t="s">
        <v>20</v>
      </c>
      <c r="B907" t="s">
        <v>1977</v>
      </c>
      <c r="C907" t="s">
        <v>1978</v>
      </c>
      <c r="D907" t="s">
        <v>1979</v>
      </c>
      <c r="E907" t="s">
        <v>1980</v>
      </c>
      <c r="F907" t="s">
        <v>1981</v>
      </c>
      <c r="G907" s="1" t="s">
        <v>1982</v>
      </c>
      <c r="I907">
        <v>20251013</v>
      </c>
      <c r="J907">
        <v>10</v>
      </c>
      <c r="K907">
        <v>0</v>
      </c>
      <c r="L907" t="s">
        <v>1983</v>
      </c>
      <c r="T907" s="2">
        <v>45964.258067129631</v>
      </c>
    </row>
  </sheetData>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naver_blog_test_20251103_060717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김호연</dc:creator>
  <cp:lastModifiedBy>김호연</cp:lastModifiedBy>
  <dcterms:created xsi:type="dcterms:W3CDTF">2025-11-02T21:15:38Z</dcterms:created>
  <dcterms:modified xsi:type="dcterms:W3CDTF">2025-11-02T21:15:38Z</dcterms:modified>
</cp:coreProperties>
</file>